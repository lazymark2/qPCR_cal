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411"/>
  <workbookPr showInkAnnotation="0"/>
  <mc:AlternateContent xmlns:mc="http://schemas.openxmlformats.org/markup-compatibility/2006">
    <mc:Choice Requires="x15">
      <x15ac:absPath xmlns:x15ac="http://schemas.microsoft.com/office/spreadsheetml/2010/11/ac" url="/Users/zhaotian/Library/Group Containers/UBF8T346G9.Office/User Content.localized/Templates.localized/"/>
    </mc:Choice>
  </mc:AlternateContent>
  <xr:revisionPtr revIDLastSave="0" documentId="13_ncr:40009_{A4544102-C5A2-944D-BEDB-79215EA357E8}" xr6:coauthVersionLast="46" xr6:coauthVersionMax="46" xr10:uidLastSave="{00000000-0000-0000-0000-000000000000}"/>
  <bookViews>
    <workbookView xWindow="11200" yWindow="500" windowWidth="28800" windowHeight="17500" activeTab="2"/>
  </bookViews>
  <sheets>
    <sheet name="Sample Setup" sheetId="1" r:id="rId1"/>
    <sheet name="Sheet5" sheetId="8" r:id="rId2"/>
    <sheet name="HGF 0317" sheetId="11" r:id="rId3"/>
    <sheet name="Sheet1" sheetId="9" r:id="rId4"/>
  </sheets>
  <calcPr calcId="191029"/>
</workbook>
</file>

<file path=xl/calcChain.xml><?xml version="1.0" encoding="utf-8"?>
<calcChain xmlns="http://schemas.openxmlformats.org/spreadsheetml/2006/main">
  <c r="K217" i="11" l="1"/>
  <c r="K216" i="11"/>
  <c r="K215" i="11"/>
  <c r="K214" i="11"/>
  <c r="K213" i="11"/>
  <c r="K212" i="11"/>
  <c r="K211" i="11"/>
  <c r="K210" i="11"/>
  <c r="K209" i="11"/>
  <c r="K208" i="11"/>
  <c r="K207" i="11"/>
  <c r="K206" i="11"/>
  <c r="K205" i="11"/>
  <c r="K204" i="11"/>
  <c r="K203" i="11"/>
  <c r="K202" i="11"/>
  <c r="K201" i="11"/>
  <c r="K200" i="11"/>
  <c r="K199" i="11"/>
  <c r="K198" i="11"/>
  <c r="K197" i="11"/>
  <c r="K196" i="11"/>
  <c r="K195" i="11"/>
  <c r="K194" i="11"/>
  <c r="K193" i="11"/>
  <c r="K192" i="11"/>
  <c r="K191" i="11"/>
  <c r="K190" i="11"/>
  <c r="K189" i="11"/>
  <c r="K188" i="11"/>
  <c r="K187" i="11"/>
  <c r="K186" i="11"/>
  <c r="K185" i="11"/>
  <c r="K184" i="11"/>
  <c r="K183" i="11"/>
  <c r="K182" i="11"/>
  <c r="K181" i="11"/>
  <c r="K180" i="11"/>
  <c r="K179" i="11"/>
  <c r="K178" i="11"/>
  <c r="K177" i="11"/>
  <c r="K176" i="11"/>
  <c r="K175" i="11"/>
  <c r="K174" i="11"/>
  <c r="K173" i="11"/>
  <c r="K172" i="11"/>
  <c r="K171" i="11"/>
  <c r="K170" i="11"/>
  <c r="K169" i="11"/>
  <c r="K168" i="11"/>
  <c r="K167" i="11"/>
  <c r="K166" i="11"/>
  <c r="K165" i="11"/>
  <c r="K164" i="11"/>
  <c r="K163" i="11"/>
  <c r="K162" i="11"/>
  <c r="K161" i="11"/>
  <c r="K160" i="11"/>
  <c r="K159" i="11"/>
  <c r="K158" i="11"/>
  <c r="K157" i="11"/>
  <c r="K156" i="11"/>
  <c r="K155" i="11"/>
  <c r="K154" i="11"/>
  <c r="K153" i="11"/>
  <c r="K152" i="11"/>
  <c r="K151" i="11"/>
  <c r="K150" i="11"/>
  <c r="K149" i="11"/>
  <c r="K148" i="11"/>
  <c r="K147" i="11"/>
  <c r="K146" i="11"/>
  <c r="K145" i="11"/>
  <c r="K144" i="11"/>
  <c r="K143" i="11"/>
  <c r="K142" i="11"/>
  <c r="K141" i="11"/>
  <c r="K140" i="11"/>
  <c r="K139" i="11"/>
  <c r="K138" i="11"/>
  <c r="K137" i="11"/>
  <c r="K136" i="11"/>
  <c r="L136" i="11" s="1"/>
  <c r="K135" i="11"/>
  <c r="K134" i="11"/>
  <c r="K133" i="11"/>
  <c r="K132" i="11"/>
  <c r="K131" i="11"/>
  <c r="K130" i="11"/>
  <c r="K129" i="11"/>
  <c r="K128" i="11"/>
  <c r="K127" i="11"/>
  <c r="K126" i="11"/>
  <c r="K125" i="11"/>
  <c r="K124" i="11"/>
  <c r="K123" i="11"/>
  <c r="K122" i="11"/>
  <c r="K121" i="11"/>
  <c r="K120" i="11"/>
  <c r="K119" i="11"/>
  <c r="K118" i="11"/>
  <c r="K117" i="11"/>
  <c r="K116" i="11"/>
  <c r="K115" i="11"/>
  <c r="K114" i="11"/>
  <c r="K113" i="11"/>
  <c r="K112" i="11"/>
  <c r="K111" i="11"/>
  <c r="K110" i="11"/>
  <c r="K109" i="11"/>
  <c r="K108" i="11"/>
  <c r="K107" i="11"/>
  <c r="K106" i="11"/>
  <c r="K105" i="11"/>
  <c r="K104" i="11"/>
  <c r="K103" i="11"/>
  <c r="K102" i="11"/>
  <c r="K101" i="11"/>
  <c r="K100" i="11"/>
  <c r="K99" i="11"/>
  <c r="K98" i="11"/>
  <c r="K97" i="11"/>
  <c r="K96" i="11"/>
  <c r="K95" i="11"/>
  <c r="K94" i="11"/>
  <c r="K93" i="11"/>
  <c r="K92" i="11"/>
  <c r="K91" i="11"/>
  <c r="K90" i="11"/>
  <c r="K89" i="11"/>
  <c r="K88" i="11"/>
  <c r="K87" i="11"/>
  <c r="K86" i="11"/>
  <c r="K85" i="11"/>
  <c r="K84" i="11"/>
  <c r="K83" i="11"/>
  <c r="K82" i="11"/>
  <c r="K81" i="11"/>
  <c r="K80" i="11"/>
  <c r="K79" i="11"/>
  <c r="K78" i="11"/>
  <c r="K77" i="11"/>
  <c r="K76" i="11"/>
  <c r="K75" i="11"/>
  <c r="K74" i="11"/>
  <c r="K73" i="11"/>
  <c r="K72" i="11"/>
  <c r="K71" i="11"/>
  <c r="K70" i="11"/>
  <c r="K69" i="11"/>
  <c r="K68" i="11"/>
  <c r="K67" i="11"/>
  <c r="K66" i="11"/>
  <c r="K65" i="11"/>
  <c r="K64" i="11"/>
  <c r="K63" i="11"/>
  <c r="K62" i="11"/>
  <c r="K61" i="11"/>
  <c r="K60" i="11"/>
  <c r="K59" i="11"/>
  <c r="K58" i="11"/>
  <c r="K57" i="11"/>
  <c r="K56" i="11"/>
  <c r="K55" i="11"/>
  <c r="K54" i="11"/>
  <c r="K53" i="11"/>
  <c r="K52" i="11"/>
  <c r="K51" i="11"/>
  <c r="K50" i="11"/>
  <c r="K49" i="11"/>
  <c r="K48" i="11"/>
  <c r="K47" i="11"/>
  <c r="K46" i="11"/>
  <c r="K45" i="11"/>
  <c r="K44" i="11"/>
  <c r="K43" i="11"/>
  <c r="K42" i="11"/>
  <c r="K41" i="11"/>
  <c r="K40" i="11"/>
  <c r="K39" i="11"/>
  <c r="K38" i="11"/>
  <c r="K37" i="11"/>
  <c r="K36" i="11"/>
  <c r="K35" i="11"/>
  <c r="K34" i="11"/>
  <c r="K33" i="11"/>
  <c r="K32" i="11"/>
  <c r="K31" i="11"/>
  <c r="L31" i="11" s="1"/>
  <c r="K30" i="11"/>
  <c r="K29" i="11"/>
  <c r="K28" i="11"/>
  <c r="K27" i="11"/>
  <c r="K26" i="11"/>
  <c r="K25" i="11"/>
  <c r="K24" i="11"/>
  <c r="K23" i="11"/>
  <c r="K22" i="11"/>
  <c r="K21" i="11"/>
  <c r="K20" i="11"/>
  <c r="K19" i="11"/>
  <c r="K18" i="11"/>
  <c r="K17" i="11"/>
  <c r="K16" i="11"/>
  <c r="K15" i="11"/>
  <c r="K14" i="11"/>
  <c r="K13" i="11"/>
  <c r="K12" i="11"/>
  <c r="K11" i="11"/>
  <c r="K10" i="11"/>
  <c r="K9" i="11"/>
  <c r="K8" i="11"/>
  <c r="K7" i="11"/>
  <c r="K6" i="11"/>
  <c r="L135" i="11"/>
  <c r="L134" i="11"/>
  <c r="L80" i="11"/>
  <c r="L63" i="11"/>
  <c r="L62" i="11"/>
  <c r="L17" i="11"/>
  <c r="L16" i="11"/>
  <c r="L15" i="11"/>
  <c r="G2" i="11"/>
  <c r="L207" i="11"/>
  <c r="L206" i="11"/>
  <c r="L199" i="11"/>
  <c r="L198" i="11"/>
  <c r="L151" i="11"/>
  <c r="L150" i="11"/>
  <c r="L127" i="11"/>
  <c r="L126" i="11"/>
  <c r="L111" i="11"/>
  <c r="L102" i="11"/>
  <c r="L86" i="11"/>
  <c r="L79" i="11"/>
  <c r="L78" i="11"/>
  <c r="L55" i="11"/>
  <c r="L54" i="11"/>
  <c r="J42" i="11"/>
  <c r="L39" i="11"/>
  <c r="L38" i="11"/>
  <c r="L30" i="11"/>
  <c r="J10" i="11"/>
  <c r="L7" i="11"/>
  <c r="D2" i="11"/>
  <c r="L209" i="11"/>
  <c r="L185" i="11"/>
  <c r="L174" i="11"/>
  <c r="L153" i="11"/>
  <c r="L152" i="11"/>
  <c r="L112" i="11"/>
  <c r="L104" i="11"/>
  <c r="L103" i="11"/>
  <c r="L89" i="11"/>
  <c r="L81" i="11"/>
  <c r="J66" i="11"/>
  <c r="L41" i="11"/>
  <c r="L40" i="11"/>
  <c r="L33" i="11"/>
  <c r="L32" i="11"/>
  <c r="J18" i="11"/>
  <c r="L8" i="11"/>
  <c r="L6" i="11"/>
  <c r="D18" i="11"/>
  <c r="D14" i="11"/>
  <c r="D10" i="11"/>
  <c r="D6" i="11"/>
  <c r="D22" i="11"/>
  <c r="H25" i="11"/>
  <c r="H24" i="11"/>
  <c r="H23" i="11"/>
  <c r="J22" i="11"/>
  <c r="H22" i="11"/>
  <c r="G22" i="11"/>
  <c r="L182" i="11"/>
  <c r="L175" i="11"/>
  <c r="L128" i="11"/>
  <c r="L64" i="11"/>
  <c r="L208" i="11"/>
  <c r="L200" i="11"/>
  <c r="L184" i="11"/>
  <c r="L176" i="11"/>
  <c r="L160" i="11"/>
  <c r="H217" i="11"/>
  <c r="H216" i="11"/>
  <c r="H215" i="11"/>
  <c r="J214" i="11"/>
  <c r="H214" i="11"/>
  <c r="G214" i="11"/>
  <c r="D214" i="11"/>
  <c r="H213" i="11"/>
  <c r="H212" i="11"/>
  <c r="H211" i="11"/>
  <c r="H210" i="11"/>
  <c r="G210" i="11"/>
  <c r="D210" i="11"/>
  <c r="H209" i="11"/>
  <c r="H208" i="11"/>
  <c r="H207" i="11"/>
  <c r="J206" i="11"/>
  <c r="H206" i="11"/>
  <c r="G206" i="11"/>
  <c r="D206" i="11"/>
  <c r="H205" i="11"/>
  <c r="H204" i="11"/>
  <c r="H203" i="11"/>
  <c r="H202" i="11"/>
  <c r="G202" i="11"/>
  <c r="D202" i="11"/>
  <c r="L201" i="11"/>
  <c r="H201" i="11"/>
  <c r="H200" i="11"/>
  <c r="H199" i="11"/>
  <c r="J198" i="11"/>
  <c r="H198" i="11"/>
  <c r="G198" i="11"/>
  <c r="D198" i="11"/>
  <c r="H197" i="11"/>
  <c r="H196" i="11"/>
  <c r="H195" i="11"/>
  <c r="H194" i="11"/>
  <c r="G194" i="11"/>
  <c r="D194" i="11"/>
  <c r="H193" i="11"/>
  <c r="H192" i="11"/>
  <c r="H191" i="11"/>
  <c r="J190" i="11"/>
  <c r="H190" i="11"/>
  <c r="G190" i="11"/>
  <c r="D190" i="11"/>
  <c r="H189" i="11"/>
  <c r="H188" i="11"/>
  <c r="H187" i="11"/>
  <c r="H186" i="11"/>
  <c r="G186" i="11"/>
  <c r="D186" i="11"/>
  <c r="H185" i="11"/>
  <c r="H184" i="11"/>
  <c r="H183" i="11"/>
  <c r="J182" i="11"/>
  <c r="H182" i="11"/>
  <c r="G182" i="11"/>
  <c r="D182" i="11"/>
  <c r="H181" i="11"/>
  <c r="H180" i="11"/>
  <c r="H179" i="11"/>
  <c r="H178" i="11"/>
  <c r="G178" i="11"/>
  <c r="D178" i="11"/>
  <c r="L177" i="11"/>
  <c r="H177" i="11"/>
  <c r="H176" i="11"/>
  <c r="H175" i="11"/>
  <c r="J174" i="11"/>
  <c r="H174" i="11"/>
  <c r="G174" i="11"/>
  <c r="D174" i="11"/>
  <c r="H173" i="11"/>
  <c r="H172" i="11"/>
  <c r="H171" i="11"/>
  <c r="H170" i="11"/>
  <c r="G170" i="11"/>
  <c r="D170" i="11"/>
  <c r="H169" i="11"/>
  <c r="H168" i="11"/>
  <c r="H167" i="11"/>
  <c r="J166" i="11"/>
  <c r="H166" i="11"/>
  <c r="G166" i="11"/>
  <c r="D166" i="11"/>
  <c r="H165" i="11"/>
  <c r="H164" i="11"/>
  <c r="H163" i="11"/>
  <c r="H162" i="11"/>
  <c r="G162" i="11"/>
  <c r="D162" i="11"/>
  <c r="L161" i="11"/>
  <c r="H161" i="11"/>
  <c r="H160" i="11"/>
  <c r="H159" i="11"/>
  <c r="L158" i="11"/>
  <c r="J158" i="11"/>
  <c r="H158" i="11"/>
  <c r="G158" i="11"/>
  <c r="D158" i="11"/>
  <c r="H157" i="11"/>
  <c r="H156" i="11"/>
  <c r="H155" i="11"/>
  <c r="H154" i="11"/>
  <c r="G154" i="11"/>
  <c r="D154" i="11"/>
  <c r="H153" i="11"/>
  <c r="H152" i="11"/>
  <c r="H151" i="11"/>
  <c r="J150" i="11"/>
  <c r="H150" i="11"/>
  <c r="G150" i="11"/>
  <c r="D150" i="11"/>
  <c r="H149" i="11"/>
  <c r="H148" i="11"/>
  <c r="H147" i="11"/>
  <c r="H146" i="11"/>
  <c r="G146" i="11"/>
  <c r="D146" i="11"/>
  <c r="H145" i="11"/>
  <c r="H144" i="11"/>
  <c r="H143" i="11"/>
  <c r="J142" i="11"/>
  <c r="H142" i="11"/>
  <c r="G142" i="11"/>
  <c r="D142" i="11"/>
  <c r="H141" i="11"/>
  <c r="H140" i="11"/>
  <c r="H139" i="11"/>
  <c r="H138" i="11"/>
  <c r="G138" i="11"/>
  <c r="D138" i="11"/>
  <c r="L137" i="11"/>
  <c r="H137" i="11"/>
  <c r="H136" i="11"/>
  <c r="H135" i="11"/>
  <c r="J134" i="11"/>
  <c r="H134" i="11"/>
  <c r="G134" i="11"/>
  <c r="D134" i="11"/>
  <c r="H133" i="11"/>
  <c r="H132" i="11"/>
  <c r="H131" i="11"/>
  <c r="H130" i="11"/>
  <c r="G130" i="11"/>
  <c r="D130" i="11"/>
  <c r="L129" i="11"/>
  <c r="H129" i="11"/>
  <c r="H128" i="11"/>
  <c r="H127" i="11"/>
  <c r="J126" i="11"/>
  <c r="H126" i="11"/>
  <c r="G126" i="11"/>
  <c r="D126" i="11"/>
  <c r="H125" i="11"/>
  <c r="H124" i="11"/>
  <c r="H123" i="11"/>
  <c r="H122" i="11"/>
  <c r="G122" i="11"/>
  <c r="D122" i="11"/>
  <c r="H121" i="11"/>
  <c r="H120" i="11"/>
  <c r="H119" i="11"/>
  <c r="J118" i="11"/>
  <c r="H118" i="11"/>
  <c r="G118" i="11"/>
  <c r="D118" i="11"/>
  <c r="H117" i="11"/>
  <c r="H116" i="11"/>
  <c r="H115" i="11"/>
  <c r="H114" i="11"/>
  <c r="G114" i="11"/>
  <c r="D114" i="11"/>
  <c r="L113" i="11"/>
  <c r="H113" i="11"/>
  <c r="H112" i="11"/>
  <c r="H111" i="11"/>
  <c r="L110" i="11"/>
  <c r="J110" i="11"/>
  <c r="H110" i="11"/>
  <c r="G110" i="11"/>
  <c r="D110" i="11"/>
  <c r="H109" i="11"/>
  <c r="H108" i="11"/>
  <c r="H107" i="11"/>
  <c r="H106" i="11"/>
  <c r="G106" i="11"/>
  <c r="D106" i="11"/>
  <c r="L105" i="11"/>
  <c r="H105" i="11"/>
  <c r="H104" i="11"/>
  <c r="H103" i="11"/>
  <c r="J102" i="11"/>
  <c r="H102" i="11"/>
  <c r="G102" i="11"/>
  <c r="D102" i="11"/>
  <c r="H101" i="11"/>
  <c r="H100" i="11"/>
  <c r="H99" i="11"/>
  <c r="H98" i="11"/>
  <c r="G98" i="11"/>
  <c r="D98" i="11"/>
  <c r="H97" i="11"/>
  <c r="H96" i="11"/>
  <c r="H95" i="11"/>
  <c r="J94" i="11"/>
  <c r="H94" i="11"/>
  <c r="G94" i="11"/>
  <c r="D94" i="11"/>
  <c r="H93" i="11"/>
  <c r="H92" i="11"/>
  <c r="H91" i="11"/>
  <c r="H90" i="11"/>
  <c r="G90" i="11"/>
  <c r="D90" i="11"/>
  <c r="H89" i="11"/>
  <c r="L88" i="11"/>
  <c r="H88" i="11"/>
  <c r="H87" i="11"/>
  <c r="J86" i="11"/>
  <c r="H86" i="11"/>
  <c r="G86" i="11"/>
  <c r="D86" i="11"/>
  <c r="H85" i="11"/>
  <c r="H84" i="11"/>
  <c r="H83" i="11"/>
  <c r="H82" i="11"/>
  <c r="G82" i="11"/>
  <c r="D82" i="11"/>
  <c r="H81" i="11"/>
  <c r="H80" i="11"/>
  <c r="H79" i="11"/>
  <c r="J78" i="11"/>
  <c r="H78" i="11"/>
  <c r="G78" i="11"/>
  <c r="D78" i="11"/>
  <c r="H77" i="11"/>
  <c r="H76" i="11"/>
  <c r="H75" i="11"/>
  <c r="H74" i="11"/>
  <c r="G74" i="11"/>
  <c r="D74" i="11"/>
  <c r="H73" i="11"/>
  <c r="H72" i="11"/>
  <c r="H71" i="11"/>
  <c r="J70" i="11"/>
  <c r="H70" i="11"/>
  <c r="G70" i="11"/>
  <c r="D70" i="11"/>
  <c r="H69" i="11"/>
  <c r="H68" i="11"/>
  <c r="H67" i="11"/>
  <c r="H66" i="11"/>
  <c r="G66" i="11"/>
  <c r="D66" i="11"/>
  <c r="L65" i="11"/>
  <c r="H65" i="11"/>
  <c r="H64" i="11"/>
  <c r="H63" i="11"/>
  <c r="J62" i="11"/>
  <c r="H62" i="11"/>
  <c r="G62" i="11"/>
  <c r="D62" i="11"/>
  <c r="H61" i="11"/>
  <c r="H60" i="11"/>
  <c r="H59" i="11"/>
  <c r="H58" i="11"/>
  <c r="G58" i="11"/>
  <c r="D58" i="11"/>
  <c r="L57" i="11"/>
  <c r="H57" i="11"/>
  <c r="L56" i="11"/>
  <c r="H56" i="11"/>
  <c r="H55" i="11"/>
  <c r="J54" i="11"/>
  <c r="H54" i="11"/>
  <c r="G54" i="11"/>
  <c r="D54" i="11"/>
  <c r="H53" i="11"/>
  <c r="H52" i="11"/>
  <c r="H51" i="11"/>
  <c r="H50" i="11"/>
  <c r="G50" i="11"/>
  <c r="D50" i="11"/>
  <c r="H49" i="11"/>
  <c r="H48" i="11"/>
  <c r="H47" i="11"/>
  <c r="J46" i="11"/>
  <c r="H46" i="11"/>
  <c r="G46" i="11"/>
  <c r="D46" i="11"/>
  <c r="H45" i="11"/>
  <c r="H44" i="11"/>
  <c r="H43" i="11"/>
  <c r="H42" i="11"/>
  <c r="G42" i="11"/>
  <c r="D42" i="11"/>
  <c r="H41" i="11"/>
  <c r="H40" i="11"/>
  <c r="H39" i="11"/>
  <c r="J38" i="11"/>
  <c r="H38" i="11"/>
  <c r="G38" i="11"/>
  <c r="D38" i="11"/>
  <c r="H37" i="11"/>
  <c r="H36" i="11"/>
  <c r="H35" i="11"/>
  <c r="H34" i="11"/>
  <c r="G34" i="11"/>
  <c r="D34" i="11"/>
  <c r="H33" i="11"/>
  <c r="H32" i="11"/>
  <c r="H31" i="11"/>
  <c r="J30" i="11"/>
  <c r="H30" i="11"/>
  <c r="G30" i="11"/>
  <c r="D30" i="11"/>
  <c r="H29" i="11"/>
  <c r="H28" i="11"/>
  <c r="H27" i="11"/>
  <c r="H26" i="11"/>
  <c r="G26" i="11"/>
  <c r="D26" i="11"/>
  <c r="J6" i="11"/>
  <c r="H2" i="11"/>
  <c r="H3" i="11"/>
  <c r="H4" i="11"/>
  <c r="H5" i="11"/>
  <c r="G6" i="11"/>
  <c r="H6" i="11"/>
  <c r="H7" i="11"/>
  <c r="H8" i="11"/>
  <c r="H9" i="11"/>
  <c r="L9" i="11"/>
  <c r="G10" i="11"/>
  <c r="H10" i="11"/>
  <c r="H11" i="11"/>
  <c r="H12" i="11"/>
  <c r="H13" i="11"/>
  <c r="G14" i="11"/>
  <c r="H14" i="11"/>
  <c r="J14" i="11"/>
  <c r="H15" i="11"/>
  <c r="H16" i="11"/>
  <c r="H17" i="11"/>
  <c r="G18" i="11"/>
  <c r="H18" i="11"/>
  <c r="H19" i="11"/>
  <c r="H20" i="11"/>
  <c r="H21" i="11"/>
  <c r="D133" i="8"/>
  <c r="D137" i="8"/>
  <c r="D141" i="8"/>
  <c r="D145" i="8"/>
  <c r="D149" i="8"/>
  <c r="D153" i="8"/>
  <c r="D159" i="8"/>
  <c r="D163" i="8"/>
  <c r="D167" i="8"/>
  <c r="D171" i="8"/>
  <c r="D175" i="8"/>
  <c r="D179" i="8"/>
  <c r="D185" i="8"/>
  <c r="D189" i="8"/>
  <c r="D193" i="8"/>
  <c r="D197" i="8"/>
  <c r="D201" i="8"/>
  <c r="D205" i="8"/>
  <c r="D211" i="8"/>
  <c r="D215" i="8"/>
  <c r="D219" i="8"/>
  <c r="D223" i="8"/>
  <c r="D227" i="8"/>
  <c r="D231" i="8"/>
  <c r="D29" i="8"/>
  <c r="H2" i="8"/>
  <c r="H3" i="8"/>
  <c r="H4" i="8"/>
  <c r="H5" i="8"/>
  <c r="H7" i="8"/>
  <c r="K9" i="8"/>
  <c r="L9" i="8"/>
  <c r="K8" i="8"/>
  <c r="L8" i="8"/>
  <c r="K7" i="8"/>
  <c r="L7" i="8"/>
  <c r="K6" i="8"/>
  <c r="L6" i="8"/>
  <c r="D127" i="8"/>
  <c r="D123" i="8"/>
  <c r="D119" i="8"/>
  <c r="D115" i="8"/>
  <c r="D111" i="8"/>
  <c r="D107" i="8"/>
  <c r="D101" i="8"/>
  <c r="D97" i="8"/>
  <c r="D93" i="8"/>
  <c r="D89" i="8"/>
  <c r="D85" i="8"/>
  <c r="D81" i="8"/>
  <c r="D75" i="8"/>
  <c r="D71" i="8"/>
  <c r="D67" i="8"/>
  <c r="D63" i="8"/>
  <c r="D59" i="8"/>
  <c r="D55" i="8"/>
  <c r="D49" i="8"/>
  <c r="D45" i="8"/>
  <c r="D41" i="8"/>
  <c r="D37" i="8"/>
  <c r="D33" i="8"/>
  <c r="D18" i="8"/>
  <c r="D14" i="8"/>
  <c r="D10" i="8"/>
  <c r="D6" i="8"/>
  <c r="D2" i="8"/>
  <c r="D22" i="8"/>
  <c r="K207" i="8"/>
  <c r="L207" i="8"/>
  <c r="K206" i="8"/>
  <c r="L206" i="8"/>
  <c r="J201" i="8"/>
  <c r="J193" i="8"/>
  <c r="J185" i="8"/>
  <c r="K180" i="8"/>
  <c r="L180" i="8"/>
  <c r="K172" i="8"/>
  <c r="L172" i="8"/>
  <c r="K171" i="8"/>
  <c r="L171" i="8"/>
  <c r="K163" i="8"/>
  <c r="L163" i="8"/>
  <c r="J149" i="8"/>
  <c r="J141" i="8"/>
  <c r="K137" i="8"/>
  <c r="L137" i="8"/>
  <c r="K129" i="8"/>
  <c r="L129" i="8"/>
  <c r="K128" i="8"/>
  <c r="L128" i="8"/>
  <c r="J123" i="8"/>
  <c r="K120" i="8"/>
  <c r="L120" i="8"/>
  <c r="J115" i="8"/>
  <c r="K114" i="8"/>
  <c r="L114" i="8"/>
  <c r="K113" i="8"/>
  <c r="L113" i="8"/>
  <c r="K112" i="8"/>
  <c r="L112" i="8"/>
  <c r="K111" i="8"/>
  <c r="L111" i="8"/>
  <c r="K102" i="8"/>
  <c r="L102" i="8"/>
  <c r="J97" i="8"/>
  <c r="J89" i="8"/>
  <c r="J81" i="8"/>
  <c r="K49" i="8"/>
  <c r="L49" i="8"/>
  <c r="J37" i="8"/>
  <c r="K33" i="8"/>
  <c r="L33" i="8"/>
  <c r="J6" i="8"/>
  <c r="K23" i="8"/>
  <c r="L23" i="8"/>
  <c r="J14" i="8"/>
  <c r="J231" i="8"/>
  <c r="J227" i="8"/>
  <c r="J223" i="8"/>
  <c r="J219" i="8"/>
  <c r="J215" i="8"/>
  <c r="J211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G211" i="8"/>
  <c r="G215" i="8"/>
  <c r="K218" i="8"/>
  <c r="L218" i="8"/>
  <c r="G219" i="8"/>
  <c r="G223" i="8"/>
  <c r="K226" i="8"/>
  <c r="L226" i="8"/>
  <c r="G227" i="8"/>
  <c r="G231" i="8"/>
  <c r="K234" i="8"/>
  <c r="L234" i="8"/>
  <c r="H234" i="8"/>
  <c r="K208" i="8"/>
  <c r="L208" i="8"/>
  <c r="H208" i="8"/>
  <c r="H207" i="8"/>
  <c r="H206" i="8"/>
  <c r="J205" i="8"/>
  <c r="H205" i="8"/>
  <c r="G205" i="8"/>
  <c r="H204" i="8"/>
  <c r="H203" i="8"/>
  <c r="H202" i="8"/>
  <c r="H201" i="8"/>
  <c r="G201" i="8"/>
  <c r="K200" i="8"/>
  <c r="L200" i="8"/>
  <c r="H200" i="8"/>
  <c r="K199" i="8"/>
  <c r="L199" i="8"/>
  <c r="H199" i="8"/>
  <c r="K198" i="8"/>
  <c r="L198" i="8"/>
  <c r="H198" i="8"/>
  <c r="J197" i="8"/>
  <c r="H197" i="8"/>
  <c r="G197" i="8"/>
  <c r="H196" i="8"/>
  <c r="H195" i="8"/>
  <c r="H194" i="8"/>
  <c r="H193" i="8"/>
  <c r="G193" i="8"/>
  <c r="K192" i="8"/>
  <c r="L192" i="8"/>
  <c r="H192" i="8"/>
  <c r="K191" i="8"/>
  <c r="L191" i="8"/>
  <c r="H191" i="8"/>
  <c r="H190" i="8"/>
  <c r="K189" i="8"/>
  <c r="L189" i="8"/>
  <c r="J189" i="8"/>
  <c r="H189" i="8"/>
  <c r="G189" i="8"/>
  <c r="H188" i="8"/>
  <c r="H187" i="8"/>
  <c r="H186" i="8"/>
  <c r="H185" i="8"/>
  <c r="G185" i="8"/>
  <c r="K182" i="8"/>
  <c r="L182" i="8"/>
  <c r="H182" i="8"/>
  <c r="K181" i="8"/>
  <c r="L181" i="8"/>
  <c r="H181" i="8"/>
  <c r="H180" i="8"/>
  <c r="J179" i="8"/>
  <c r="H179" i="8"/>
  <c r="G179" i="8"/>
  <c r="H178" i="8"/>
  <c r="H177" i="8"/>
  <c r="H176" i="8"/>
  <c r="J175" i="8"/>
  <c r="H175" i="8"/>
  <c r="G175" i="8"/>
  <c r="K174" i="8"/>
  <c r="L174" i="8"/>
  <c r="H174" i="8"/>
  <c r="K173" i="8"/>
  <c r="L173" i="8"/>
  <c r="H173" i="8"/>
  <c r="H172" i="8"/>
  <c r="J171" i="8"/>
  <c r="H171" i="8"/>
  <c r="G171" i="8"/>
  <c r="H170" i="8"/>
  <c r="H169" i="8"/>
  <c r="H168" i="8"/>
  <c r="H167" i="8"/>
  <c r="G167" i="8"/>
  <c r="K166" i="8"/>
  <c r="L166" i="8"/>
  <c r="H166" i="8"/>
  <c r="K165" i="8"/>
  <c r="L165" i="8"/>
  <c r="H165" i="8"/>
  <c r="K164" i="8"/>
  <c r="L164" i="8"/>
  <c r="H164" i="8"/>
  <c r="J163" i="8"/>
  <c r="H163" i="8"/>
  <c r="G163" i="8"/>
  <c r="H162" i="8"/>
  <c r="H161" i="8"/>
  <c r="H160" i="8"/>
  <c r="H159" i="8"/>
  <c r="G159" i="8"/>
  <c r="J153" i="8"/>
  <c r="K156" i="8"/>
  <c r="L156" i="8"/>
  <c r="K153" i="8"/>
  <c r="L153" i="8"/>
  <c r="J145" i="8"/>
  <c r="K148" i="8"/>
  <c r="L148" i="8"/>
  <c r="J137" i="8"/>
  <c r="K140" i="8"/>
  <c r="L140" i="8"/>
  <c r="K121" i="8"/>
  <c r="L121" i="8"/>
  <c r="K104" i="8"/>
  <c r="L104" i="8"/>
  <c r="K86" i="8"/>
  <c r="L86" i="8"/>
  <c r="K96" i="8"/>
  <c r="L96" i="8"/>
  <c r="K88" i="8"/>
  <c r="L88" i="8"/>
  <c r="H156" i="8"/>
  <c r="H155" i="8"/>
  <c r="K154" i="8"/>
  <c r="L154" i="8"/>
  <c r="H154" i="8"/>
  <c r="H153" i="8"/>
  <c r="G153" i="8"/>
  <c r="H152" i="8"/>
  <c r="H151" i="8"/>
  <c r="H150" i="8"/>
  <c r="H149" i="8"/>
  <c r="G149" i="8"/>
  <c r="H148" i="8"/>
  <c r="K147" i="8"/>
  <c r="L147" i="8"/>
  <c r="H147" i="8"/>
  <c r="K146" i="8"/>
  <c r="L146" i="8"/>
  <c r="H146" i="8"/>
  <c r="H145" i="8"/>
  <c r="G145" i="8"/>
  <c r="H144" i="8"/>
  <c r="H143" i="8"/>
  <c r="H142" i="8"/>
  <c r="H141" i="8"/>
  <c r="G141" i="8"/>
  <c r="H140" i="8"/>
  <c r="K139" i="8"/>
  <c r="L139" i="8"/>
  <c r="H139" i="8"/>
  <c r="K138" i="8"/>
  <c r="L138" i="8"/>
  <c r="H138" i="8"/>
  <c r="H137" i="8"/>
  <c r="G137" i="8"/>
  <c r="H136" i="8"/>
  <c r="H135" i="8"/>
  <c r="H134" i="8"/>
  <c r="H133" i="8"/>
  <c r="G133" i="8"/>
  <c r="K130" i="8"/>
  <c r="L130" i="8"/>
  <c r="H130" i="8"/>
  <c r="H129" i="8"/>
  <c r="H128" i="8"/>
  <c r="J127" i="8"/>
  <c r="H127" i="8"/>
  <c r="G127" i="8"/>
  <c r="H126" i="8"/>
  <c r="H125" i="8"/>
  <c r="H124" i="8"/>
  <c r="H123" i="8"/>
  <c r="G123" i="8"/>
  <c r="K122" i="8"/>
  <c r="L122" i="8"/>
  <c r="H122" i="8"/>
  <c r="H121" i="8"/>
  <c r="H120" i="8"/>
  <c r="J119" i="8"/>
  <c r="H119" i="8"/>
  <c r="G119" i="8"/>
  <c r="H118" i="8"/>
  <c r="H117" i="8"/>
  <c r="H116" i="8"/>
  <c r="H115" i="8"/>
  <c r="G115" i="8"/>
  <c r="H114" i="8"/>
  <c r="H113" i="8"/>
  <c r="H112" i="8"/>
  <c r="J111" i="8"/>
  <c r="H111" i="8"/>
  <c r="G111" i="8"/>
  <c r="H110" i="8"/>
  <c r="H109" i="8"/>
  <c r="H108" i="8"/>
  <c r="H107" i="8"/>
  <c r="G107" i="8"/>
  <c r="H104" i="8"/>
  <c r="H103" i="8"/>
  <c r="H102" i="8"/>
  <c r="H101" i="8"/>
  <c r="G101" i="8"/>
  <c r="H100" i="8"/>
  <c r="H99" i="8"/>
  <c r="H98" i="8"/>
  <c r="H97" i="8"/>
  <c r="G97" i="8"/>
  <c r="H96" i="8"/>
  <c r="H95" i="8"/>
  <c r="H94" i="8"/>
  <c r="H93" i="8"/>
  <c r="G93" i="8"/>
  <c r="H92" i="8"/>
  <c r="H91" i="8"/>
  <c r="H90" i="8"/>
  <c r="H89" i="8"/>
  <c r="G89" i="8"/>
  <c r="H88" i="8"/>
  <c r="K87" i="8"/>
  <c r="L87" i="8"/>
  <c r="H87" i="8"/>
  <c r="H86" i="8"/>
  <c r="H85" i="8"/>
  <c r="G85" i="8"/>
  <c r="H84" i="8"/>
  <c r="H83" i="8"/>
  <c r="H82" i="8"/>
  <c r="H81" i="8"/>
  <c r="G81" i="8"/>
  <c r="K75" i="8"/>
  <c r="L75" i="8"/>
  <c r="J63" i="8"/>
  <c r="J55" i="8"/>
  <c r="G29" i="8"/>
  <c r="H29" i="8"/>
  <c r="H30" i="8"/>
  <c r="H31" i="8"/>
  <c r="H32" i="8"/>
  <c r="G33" i="8"/>
  <c r="H33" i="8"/>
  <c r="H34" i="8"/>
  <c r="H35" i="8"/>
  <c r="H36" i="8"/>
  <c r="G37" i="8"/>
  <c r="H37" i="8"/>
  <c r="H38" i="8"/>
  <c r="H39" i="8"/>
  <c r="H40" i="8"/>
  <c r="G41" i="8"/>
  <c r="H41" i="8"/>
  <c r="H42" i="8"/>
  <c r="H43" i="8"/>
  <c r="H44" i="8"/>
  <c r="G45" i="8"/>
  <c r="H45" i="8"/>
  <c r="H46" i="8"/>
  <c r="H47" i="8"/>
  <c r="H48" i="8"/>
  <c r="G49" i="8"/>
  <c r="H49" i="8"/>
  <c r="H50" i="8"/>
  <c r="H51" i="8"/>
  <c r="H52" i="8"/>
  <c r="K22" i="8"/>
  <c r="L22" i="8"/>
  <c r="K78" i="8"/>
  <c r="L78" i="8"/>
  <c r="H78" i="8"/>
  <c r="K77" i="8"/>
  <c r="L77" i="8"/>
  <c r="H77" i="8"/>
  <c r="K76" i="8"/>
  <c r="L76" i="8"/>
  <c r="H76" i="8"/>
  <c r="J75" i="8"/>
  <c r="H75" i="8"/>
  <c r="G75" i="8"/>
  <c r="H74" i="8"/>
  <c r="H73" i="8"/>
  <c r="H72" i="8"/>
  <c r="J71" i="8"/>
  <c r="H71" i="8"/>
  <c r="G71" i="8"/>
  <c r="K70" i="8"/>
  <c r="L70" i="8"/>
  <c r="H70" i="8"/>
  <c r="K69" i="8"/>
  <c r="L69" i="8"/>
  <c r="H69" i="8"/>
  <c r="K68" i="8"/>
  <c r="L68" i="8"/>
  <c r="H68" i="8"/>
  <c r="J67" i="8"/>
  <c r="H67" i="8"/>
  <c r="G67" i="8"/>
  <c r="H66" i="8"/>
  <c r="H65" i="8"/>
  <c r="H64" i="8"/>
  <c r="H63" i="8"/>
  <c r="G63" i="8"/>
  <c r="K62" i="8"/>
  <c r="L62" i="8"/>
  <c r="H62" i="8"/>
  <c r="K61" i="8"/>
  <c r="L61" i="8"/>
  <c r="H61" i="8"/>
  <c r="K60" i="8"/>
  <c r="L60" i="8"/>
  <c r="H60" i="8"/>
  <c r="J59" i="8"/>
  <c r="H59" i="8"/>
  <c r="G59" i="8"/>
  <c r="H58" i="8"/>
  <c r="H57" i="8"/>
  <c r="H56" i="8"/>
  <c r="H55" i="8"/>
  <c r="G55" i="8"/>
  <c r="K52" i="8"/>
  <c r="L52" i="8"/>
  <c r="K51" i="8"/>
  <c r="L51" i="8"/>
  <c r="K50" i="8"/>
  <c r="L50" i="8"/>
  <c r="J49" i="8"/>
  <c r="J45" i="8"/>
  <c r="K44" i="8"/>
  <c r="L44" i="8"/>
  <c r="K43" i="8"/>
  <c r="L43" i="8"/>
  <c r="K42" i="8"/>
  <c r="L42" i="8"/>
  <c r="J41" i="8"/>
  <c r="K36" i="8"/>
  <c r="L36" i="8"/>
  <c r="K35" i="8"/>
  <c r="L35" i="8"/>
  <c r="K34" i="8"/>
  <c r="L34" i="8"/>
  <c r="J33" i="8"/>
  <c r="K25" i="8"/>
  <c r="L25" i="8"/>
  <c r="H25" i="8"/>
  <c r="K24" i="8"/>
  <c r="L24" i="8"/>
  <c r="H24" i="8"/>
  <c r="H23" i="8"/>
  <c r="J22" i="8"/>
  <c r="H22" i="8"/>
  <c r="G22" i="8"/>
  <c r="H21" i="8"/>
  <c r="H20" i="8"/>
  <c r="H19" i="8"/>
  <c r="H18" i="8"/>
  <c r="G18" i="8"/>
  <c r="K17" i="8"/>
  <c r="L17" i="8"/>
  <c r="H17" i="8"/>
  <c r="K16" i="8"/>
  <c r="L16" i="8"/>
  <c r="H16" i="8"/>
  <c r="K15" i="8"/>
  <c r="L15" i="8"/>
  <c r="H15" i="8"/>
  <c r="K14" i="8"/>
  <c r="L14" i="8"/>
  <c r="H14" i="8"/>
  <c r="G14" i="8"/>
  <c r="H13" i="8"/>
  <c r="H12" i="8"/>
  <c r="H11" i="8"/>
  <c r="J10" i="8"/>
  <c r="H10" i="8"/>
  <c r="G10" i="8"/>
  <c r="G6" i="8"/>
  <c r="G2" i="8"/>
  <c r="H9" i="8"/>
  <c r="H8" i="8"/>
  <c r="K233" i="8"/>
  <c r="L233" i="8"/>
  <c r="K225" i="8"/>
  <c r="L225" i="8"/>
  <c r="K217" i="8"/>
  <c r="L217" i="8"/>
  <c r="K232" i="8"/>
  <c r="L232" i="8"/>
  <c r="K224" i="8"/>
  <c r="L224" i="8"/>
  <c r="K216" i="8"/>
  <c r="L216" i="8"/>
  <c r="K231" i="8"/>
  <c r="L231" i="8"/>
  <c r="K223" i="8"/>
  <c r="L223" i="8"/>
  <c r="K215" i="8"/>
  <c r="L215" i="8"/>
  <c r="K155" i="8"/>
  <c r="L155" i="8"/>
  <c r="K127" i="8"/>
  <c r="L127" i="8"/>
  <c r="K94" i="8"/>
  <c r="L94" i="8"/>
  <c r="K95" i="8"/>
  <c r="L95" i="8"/>
  <c r="K103" i="8"/>
  <c r="L103" i="8"/>
  <c r="J85" i="8"/>
  <c r="J93" i="8"/>
  <c r="J101" i="8"/>
  <c r="K59" i="8"/>
  <c r="L59" i="8"/>
  <c r="K67" i="8"/>
  <c r="L67" i="8"/>
  <c r="J18" i="8"/>
  <c r="J2" i="8"/>
  <c r="K63" i="8"/>
  <c r="L63" i="8"/>
  <c r="K205" i="8"/>
  <c r="L205" i="8"/>
  <c r="K190" i="8"/>
  <c r="L190" i="8"/>
  <c r="K197" i="8"/>
  <c r="L197" i="8"/>
  <c r="J167" i="8"/>
  <c r="K179" i="8"/>
  <c r="L179" i="8"/>
  <c r="J159" i="8"/>
  <c r="K145" i="8"/>
  <c r="L145" i="8"/>
  <c r="J133" i="8"/>
  <c r="K119" i="8"/>
  <c r="L119" i="8"/>
  <c r="J107" i="8"/>
  <c r="K93" i="8"/>
  <c r="L93" i="8"/>
  <c r="K101" i="8"/>
  <c r="L101" i="8"/>
  <c r="K85" i="8"/>
  <c r="L85" i="8"/>
  <c r="K41" i="8"/>
  <c r="L41" i="8"/>
  <c r="J29" i="8"/>
  <c r="K37" i="8"/>
  <c r="L37" i="8"/>
  <c r="K2" i="8"/>
  <c r="L2" i="8"/>
  <c r="K126" i="8"/>
  <c r="L126" i="8"/>
  <c r="K141" i="8"/>
  <c r="L141" i="8"/>
  <c r="K46" i="8"/>
  <c r="L46" i="8"/>
  <c r="K162" i="8"/>
  <c r="L162" i="8"/>
  <c r="K152" i="8"/>
  <c r="L152" i="8"/>
  <c r="K116" i="8"/>
  <c r="L116" i="8"/>
  <c r="K29" i="8"/>
  <c r="L29" i="8"/>
  <c r="K151" i="8"/>
  <c r="L151" i="8"/>
  <c r="K10" i="8"/>
  <c r="L10" i="8"/>
  <c r="K213" i="8"/>
  <c r="L213" i="8"/>
  <c r="K109" i="8"/>
  <c r="L109" i="8"/>
  <c r="K45" i="8"/>
  <c r="L45" i="8"/>
  <c r="K110" i="8"/>
  <c r="L110" i="8"/>
  <c r="K56" i="8"/>
  <c r="L56" i="8"/>
  <c r="K143" i="8"/>
  <c r="L143" i="8"/>
  <c r="K202" i="8"/>
  <c r="L202" i="8"/>
  <c r="K221" i="8"/>
  <c r="L221" i="8"/>
  <c r="K142" i="8"/>
  <c r="L142" i="8"/>
  <c r="K201" i="8"/>
  <c r="L201" i="8"/>
  <c r="K136" i="8"/>
  <c r="L136" i="8"/>
  <c r="K193" i="8"/>
  <c r="L193" i="8"/>
  <c r="K12" i="8"/>
  <c r="L12" i="8"/>
  <c r="K90" i="8"/>
  <c r="L90" i="8"/>
  <c r="K161" i="8"/>
  <c r="L161" i="8"/>
  <c r="K125" i="8"/>
  <c r="L125" i="8"/>
  <c r="K167" i="8"/>
  <c r="L167" i="8"/>
  <c r="K39" i="8"/>
  <c r="L39" i="8"/>
  <c r="K19" i="8"/>
  <c r="L19" i="8"/>
  <c r="K170" i="8"/>
  <c r="L170" i="8"/>
  <c r="K58" i="8"/>
  <c r="L58" i="8"/>
  <c r="K5" i="8"/>
  <c r="L5" i="8"/>
  <c r="K123" i="8"/>
  <c r="L123" i="8"/>
  <c r="K21" i="8"/>
  <c r="L21" i="8"/>
  <c r="K220" i="8"/>
  <c r="L220" i="8"/>
  <c r="K211" i="8"/>
  <c r="L211" i="8"/>
  <c r="K214" i="8"/>
  <c r="L214" i="8"/>
  <c r="K203" i="8"/>
  <c r="L203" i="8"/>
  <c r="K177" i="8"/>
  <c r="L177" i="8"/>
  <c r="K159" i="8"/>
  <c r="L159" i="8"/>
  <c r="K178" i="8"/>
  <c r="L178" i="8"/>
  <c r="K212" i="8"/>
  <c r="L212" i="8"/>
  <c r="K82" i="8"/>
  <c r="L82" i="8"/>
  <c r="K65" i="8"/>
  <c r="L65" i="8"/>
  <c r="K99" i="8"/>
  <c r="L99" i="8"/>
  <c r="K194" i="8"/>
  <c r="L194" i="8"/>
  <c r="K117" i="8"/>
  <c r="L117" i="8"/>
  <c r="K48" i="8"/>
  <c r="L48" i="8"/>
  <c r="K188" i="8"/>
  <c r="L188" i="8"/>
  <c r="K144" i="8"/>
  <c r="L144" i="8"/>
  <c r="K134" i="8"/>
  <c r="L134" i="8"/>
  <c r="K108" i="8"/>
  <c r="L108" i="8"/>
  <c r="K31" i="8"/>
  <c r="L31" i="8"/>
  <c r="K97" i="8"/>
  <c r="L97" i="8"/>
  <c r="K229" i="8"/>
  <c r="L229" i="8"/>
  <c r="K4" i="8"/>
  <c r="L4" i="8"/>
  <c r="K98" i="8"/>
  <c r="L98" i="8"/>
  <c r="K115" i="8"/>
  <c r="L115" i="8"/>
  <c r="K71" i="8"/>
  <c r="L71" i="8"/>
  <c r="K150" i="8"/>
  <c r="L150" i="8"/>
  <c r="K20" i="8"/>
  <c r="L20" i="8"/>
  <c r="K3" i="8"/>
  <c r="L3" i="8"/>
  <c r="K40" i="8"/>
  <c r="L40" i="8"/>
  <c r="K124" i="8"/>
  <c r="L124" i="8"/>
  <c r="K196" i="8"/>
  <c r="L196" i="8"/>
  <c r="K219" i="8"/>
  <c r="L219" i="8"/>
  <c r="K81" i="8"/>
  <c r="L81" i="8"/>
  <c r="K74" i="8"/>
  <c r="L74" i="8"/>
  <c r="K100" i="8"/>
  <c r="L100" i="8"/>
  <c r="K55" i="8"/>
  <c r="L55" i="8"/>
  <c r="K185" i="8"/>
  <c r="L185" i="8"/>
  <c r="K176" i="8"/>
  <c r="L176" i="8"/>
  <c r="K107" i="8"/>
  <c r="L107" i="8"/>
  <c r="K38" i="8"/>
  <c r="L38" i="8"/>
  <c r="K89" i="8"/>
  <c r="L89" i="8"/>
  <c r="K133" i="8"/>
  <c r="L133" i="8"/>
  <c r="K228" i="8"/>
  <c r="L228" i="8"/>
  <c r="K73" i="8"/>
  <c r="L73" i="8"/>
  <c r="K195" i="8"/>
  <c r="L195" i="8"/>
  <c r="K84" i="8"/>
  <c r="L84" i="8"/>
  <c r="K13" i="8"/>
  <c r="L13" i="8"/>
  <c r="K135" i="8"/>
  <c r="L135" i="8"/>
  <c r="K149" i="8"/>
  <c r="L149" i="8"/>
  <c r="K83" i="8"/>
  <c r="L83" i="8"/>
  <c r="K30" i="8"/>
  <c r="L30" i="8"/>
  <c r="K57" i="8"/>
  <c r="L57" i="8"/>
  <c r="K92" i="8"/>
  <c r="L92" i="8"/>
  <c r="K91" i="8"/>
  <c r="L91" i="8"/>
  <c r="K222" i="8"/>
  <c r="L222" i="8"/>
  <c r="K11" i="8"/>
  <c r="L11" i="8"/>
  <c r="K169" i="8"/>
  <c r="L169" i="8"/>
  <c r="K227" i="8"/>
  <c r="L227" i="8"/>
  <c r="K160" i="8"/>
  <c r="L160" i="8"/>
  <c r="K168" i="8"/>
  <c r="L168" i="8"/>
  <c r="K72" i="8"/>
  <c r="L72" i="8"/>
  <c r="K187" i="8"/>
  <c r="L187" i="8"/>
  <c r="K230" i="8"/>
  <c r="L230" i="8"/>
  <c r="K64" i="8"/>
  <c r="L64" i="8"/>
  <c r="K175" i="8"/>
  <c r="L175" i="8"/>
  <c r="K204" i="8"/>
  <c r="L204" i="8"/>
  <c r="K18" i="8"/>
  <c r="L18" i="8"/>
  <c r="K32" i="8"/>
  <c r="L32" i="8"/>
  <c r="K66" i="8"/>
  <c r="L66" i="8"/>
  <c r="K118" i="8"/>
  <c r="L118" i="8"/>
  <c r="K186" i="8"/>
  <c r="L186" i="8"/>
  <c r="K47" i="8"/>
  <c r="L47" i="8"/>
  <c r="J74" i="11"/>
  <c r="J82" i="11"/>
  <c r="J138" i="11"/>
  <c r="J146" i="11"/>
  <c r="J154" i="11"/>
  <c r="L159" i="11"/>
  <c r="J162" i="11"/>
  <c r="J170" i="11"/>
  <c r="J178" i="11"/>
  <c r="L183" i="11"/>
  <c r="J186" i="11"/>
  <c r="J210" i="11"/>
  <c r="J122" i="11"/>
  <c r="J130" i="11"/>
  <c r="L87" i="11"/>
  <c r="J90" i="11"/>
  <c r="J98" i="11"/>
  <c r="J106" i="11"/>
  <c r="J114" i="11"/>
  <c r="J2" i="11"/>
  <c r="L37" i="11" s="1"/>
  <c r="L98" i="11" l="1"/>
  <c r="L101" i="11"/>
  <c r="L22" i="11"/>
  <c r="L23" i="11"/>
  <c r="L25" i="11"/>
  <c r="L24" i="11"/>
  <c r="J194" i="11"/>
  <c r="L14" i="11"/>
  <c r="J202" i="11"/>
  <c r="J26" i="11"/>
  <c r="J34" i="11"/>
  <c r="J50" i="11"/>
  <c r="J58" i="11"/>
  <c r="K5" i="11"/>
  <c r="L5" i="11" s="1"/>
  <c r="K3" i="11"/>
  <c r="L3" i="11" s="1"/>
  <c r="L138" i="11"/>
  <c r="L52" i="11"/>
  <c r="L154" i="11"/>
  <c r="L47" i="11"/>
  <c r="L107" i="11"/>
  <c r="L204" i="11"/>
  <c r="L68" i="11"/>
  <c r="L142" i="11"/>
  <c r="L180" i="11"/>
  <c r="L58" i="11"/>
  <c r="L191" i="11"/>
  <c r="L27" i="11"/>
  <c r="L71" i="11"/>
  <c r="L141" i="11"/>
  <c r="L167" i="11"/>
  <c r="L85" i="11"/>
  <c r="L192" i="11"/>
  <c r="L72" i="11"/>
  <c r="L144" i="11"/>
  <c r="L120" i="11"/>
  <c r="L131" i="11"/>
  <c r="L217" i="11"/>
  <c r="L147" i="11"/>
  <c r="L75" i="11"/>
  <c r="L114" i="11"/>
  <c r="L194" i="11"/>
  <c r="L12" i="11"/>
  <c r="L82" i="11"/>
  <c r="L92" i="11"/>
  <c r="L172" i="11"/>
  <c r="L97" i="11"/>
  <c r="L118" i="11"/>
  <c r="L60" i="11"/>
  <c r="L20" i="11"/>
  <c r="L10" i="11"/>
  <c r="L19" i="11"/>
  <c r="L18" i="11"/>
  <c r="L43" i="11"/>
  <c r="L146" i="11"/>
  <c r="L122" i="11"/>
  <c r="L59" i="11"/>
  <c r="L34" i="11"/>
  <c r="L53" i="11"/>
  <c r="L115" i="11"/>
  <c r="L188" i="11"/>
  <c r="L212" i="11"/>
  <c r="L70" i="11"/>
  <c r="L124" i="11"/>
  <c r="L156" i="11"/>
  <c r="L35" i="11"/>
  <c r="L77" i="11"/>
  <c r="L149" i="11"/>
  <c r="L197" i="11"/>
  <c r="L28" i="11"/>
  <c r="L94" i="11"/>
  <c r="L143" i="11"/>
  <c r="L181" i="11"/>
  <c r="L29" i="11"/>
  <c r="L93" i="11"/>
  <c r="L168" i="11"/>
  <c r="L193" i="11"/>
  <c r="L73" i="11"/>
  <c r="L139" i="11"/>
  <c r="L162" i="11"/>
  <c r="L155" i="11"/>
  <c r="L195" i="11"/>
  <c r="L178" i="11"/>
  <c r="L186" i="11"/>
  <c r="L13" i="11"/>
  <c r="K4" i="11"/>
  <c r="L4" i="11" s="1"/>
  <c r="L163" i="11"/>
  <c r="L51" i="11"/>
  <c r="L130" i="11"/>
  <c r="L179" i="11"/>
  <c r="L42" i="11"/>
  <c r="L76" i="11"/>
  <c r="L121" i="11"/>
  <c r="L190" i="11"/>
  <c r="L214" i="11"/>
  <c r="L84" i="11"/>
  <c r="L132" i="11"/>
  <c r="L164" i="11"/>
  <c r="L48" i="11"/>
  <c r="L100" i="11"/>
  <c r="L173" i="11"/>
  <c r="L205" i="11"/>
  <c r="L66" i="11"/>
  <c r="L125" i="11"/>
  <c r="L157" i="11"/>
  <c r="L215" i="11"/>
  <c r="L117" i="11"/>
  <c r="L36" i="11"/>
  <c r="L95" i="11"/>
  <c r="L216" i="11"/>
  <c r="L26" i="11"/>
  <c r="L96" i="11"/>
  <c r="L145" i="11"/>
  <c r="L67" i="11"/>
  <c r="L106" i="11"/>
  <c r="L211" i="11"/>
  <c r="L83" i="11"/>
  <c r="K2" i="11"/>
  <c r="L2" i="11" s="1"/>
  <c r="L11" i="11"/>
  <c r="L108" i="11"/>
  <c r="L171" i="11"/>
  <c r="L202" i="11"/>
  <c r="L45" i="11"/>
  <c r="L99" i="11"/>
  <c r="L196" i="11"/>
  <c r="L61" i="11"/>
  <c r="L140" i="11"/>
  <c r="L166" i="11"/>
  <c r="L50" i="11"/>
  <c r="L189" i="11"/>
  <c r="L213" i="11"/>
  <c r="L69" i="11"/>
  <c r="L133" i="11"/>
  <c r="L165" i="11"/>
  <c r="L49" i="11"/>
  <c r="L119" i="11"/>
  <c r="L44" i="11"/>
  <c r="L109" i="11"/>
  <c r="L46" i="11"/>
  <c r="L123" i="11"/>
  <c r="L169" i="11"/>
  <c r="L187" i="11"/>
  <c r="L170" i="11"/>
  <c r="L210" i="11"/>
  <c r="L203" i="11"/>
  <c r="L21" i="11"/>
  <c r="L74" i="11"/>
  <c r="L90" i="11"/>
  <c r="L148" i="11"/>
  <c r="L91" i="11"/>
  <c r="L116" i="11"/>
</calcChain>
</file>

<file path=xl/sharedStrings.xml><?xml version="1.0" encoding="utf-8"?>
<sst xmlns="http://schemas.openxmlformats.org/spreadsheetml/2006/main" count="6333" uniqueCount="527">
  <si>
    <t>Block Type</t>
  </si>
  <si>
    <t>384-Well Block</t>
  </si>
  <si>
    <t xml:space="preserve">Calibration Background is expired </t>
  </si>
  <si>
    <t>Yes</t>
  </si>
  <si>
    <t xml:space="preserve">Calibration Background performed on </t>
  </si>
  <si>
    <t>2019-11-19 19:07:36 PM CST</t>
  </si>
  <si>
    <t xml:space="preserve">Calibration FAM is expired </t>
  </si>
  <si>
    <t xml:space="preserve">Calibration FAM performed on </t>
  </si>
  <si>
    <t>2019-11-19 19:38:18 PM CST</t>
  </si>
  <si>
    <t xml:space="preserve">Calibration NED is expired </t>
  </si>
  <si>
    <t xml:space="preserve">Calibration NED performed on </t>
  </si>
  <si>
    <t>2019-06-05 15:48:57 PM CST</t>
  </si>
  <si>
    <t xml:space="preserve">Calibration ROI is expired </t>
  </si>
  <si>
    <t xml:space="preserve">Calibration ROI performed on </t>
  </si>
  <si>
    <t>2019-11-19 19:00:19 PM CST</t>
  </si>
  <si>
    <t xml:space="preserve">Calibration ROX is expired </t>
  </si>
  <si>
    <t xml:space="preserve">Calibration ROX performed on </t>
  </si>
  <si>
    <t>2019-11-19 19:53:31 PM CST</t>
  </si>
  <si>
    <t xml:space="preserve">Calibration SYBR is expired </t>
  </si>
  <si>
    <t xml:space="preserve">Calibration SYBR performed on </t>
  </si>
  <si>
    <t>2019-11-19 19:23:10 PM CST</t>
  </si>
  <si>
    <t xml:space="preserve">Calibration TAMRA is expired </t>
  </si>
  <si>
    <t xml:space="preserve">Calibration TAMRA performed on </t>
  </si>
  <si>
    <t>2019-11-19 19:45:47 PM CST</t>
  </si>
  <si>
    <t xml:space="preserve">Calibration Uniformity is expired </t>
  </si>
  <si>
    <t xml:space="preserve">Calibration Uniformity performed on </t>
  </si>
  <si>
    <t>2019-11-19 19:15:39 PM CST</t>
  </si>
  <si>
    <t xml:space="preserve">Calibration VIC is expired </t>
  </si>
  <si>
    <t xml:space="preserve">Calibration VIC performed on </t>
  </si>
  <si>
    <t>2019-11-19 19:30:40 PM CST</t>
  </si>
  <si>
    <t>Chemistry</t>
  </si>
  <si>
    <t>SYBR_GREEN</t>
  </si>
  <si>
    <t>Experiment File Name</t>
  </si>
  <si>
    <t>D:\DATA\QXY\2020-09-21 110408.eds</t>
  </si>
  <si>
    <t>Experiment Name</t>
  </si>
  <si>
    <t>2020-09-21 110408</t>
  </si>
  <si>
    <t>Experiment Run End Time</t>
  </si>
  <si>
    <t>2020-09-21 12:56:34 PM CST</t>
  </si>
  <si>
    <t>Experiment Type</t>
  </si>
  <si>
    <t xml:space="preserve">Comparative Cт (ΔΔCт) </t>
  </si>
  <si>
    <t>Instrument Name</t>
  </si>
  <si>
    <t>278990192</t>
  </si>
  <si>
    <t>Instrument Serial Number</t>
  </si>
  <si>
    <t>Instrument Type</t>
  </si>
  <si>
    <t>ViiA 7</t>
  </si>
  <si>
    <t>Passive Reference</t>
  </si>
  <si>
    <t>ROX</t>
  </si>
  <si>
    <t>Quantification Cycle Method</t>
  </si>
  <si>
    <t>Ct</t>
  </si>
  <si>
    <t>Signal Smoothing On</t>
  </si>
  <si>
    <t>false</t>
  </si>
  <si>
    <t>Stage/ Cycle where Analysis is performed</t>
  </si>
  <si>
    <t>Stage 2, Step 2</t>
  </si>
  <si>
    <t>Well</t>
  </si>
  <si>
    <t>Well Position</t>
  </si>
  <si>
    <t>Sample Name</t>
  </si>
  <si>
    <t>Sample Color</t>
  </si>
  <si>
    <t>Biogroup Name</t>
  </si>
  <si>
    <t>Biogroup Color</t>
  </si>
  <si>
    <t>Target Name</t>
  </si>
  <si>
    <t>Target Color</t>
  </si>
  <si>
    <t>Task</t>
  </si>
  <si>
    <t>Reporter</t>
  </si>
  <si>
    <t>Quencher</t>
  </si>
  <si>
    <t>Quantity</t>
  </si>
  <si>
    <t>Comments</t>
  </si>
  <si>
    <t xml:space="preserve">      A1</t>
  </si>
  <si>
    <t>RGB(176,23,31)</t>
  </si>
  <si>
    <t/>
  </si>
  <si>
    <t>GAPDH</t>
  </si>
  <si>
    <t>UNKNOWN</t>
  </si>
  <si>
    <t>SYBR</t>
  </si>
  <si>
    <t>None</t>
  </si>
  <si>
    <t xml:space="preserve">      A2</t>
  </si>
  <si>
    <t xml:space="preserve">      A3</t>
  </si>
  <si>
    <t xml:space="preserve">      A4</t>
  </si>
  <si>
    <t>C1</t>
  </si>
  <si>
    <t>RGB(0,0,255)</t>
  </si>
  <si>
    <t xml:space="preserve">      A5</t>
  </si>
  <si>
    <t xml:space="preserve">      A6</t>
  </si>
  <si>
    <t xml:space="preserve">      A7</t>
  </si>
  <si>
    <t>N1</t>
  </si>
  <si>
    <t>RGB(0,139,69)</t>
  </si>
  <si>
    <t xml:space="preserve">      A8</t>
  </si>
  <si>
    <t xml:space="preserve">      A9</t>
  </si>
  <si>
    <t xml:space="preserve">      A10</t>
  </si>
  <si>
    <t>P1</t>
  </si>
  <si>
    <t>RGB(238,238,0)</t>
  </si>
  <si>
    <t xml:space="preserve">      A11</t>
  </si>
  <si>
    <t xml:space="preserve">      A12</t>
  </si>
  <si>
    <t xml:space="preserve">      A13</t>
  </si>
  <si>
    <t>RGB(139,137,112)</t>
  </si>
  <si>
    <t xml:space="preserve">      A14</t>
  </si>
  <si>
    <t xml:space="preserve">      A15</t>
  </si>
  <si>
    <t xml:space="preserve">      A16</t>
  </si>
  <si>
    <t>C2</t>
  </si>
  <si>
    <t>RGB(238,121,66)</t>
  </si>
  <si>
    <t xml:space="preserve">      A17</t>
  </si>
  <si>
    <t xml:space="preserve">      A18</t>
  </si>
  <si>
    <t xml:space="preserve">      A19</t>
  </si>
  <si>
    <t>N2</t>
  </si>
  <si>
    <t>RGB(142,56,142)</t>
  </si>
  <si>
    <t xml:space="preserve">      A20</t>
  </si>
  <si>
    <t xml:space="preserve">      A21</t>
  </si>
  <si>
    <t xml:space="preserve">      A22</t>
  </si>
  <si>
    <t>P2</t>
  </si>
  <si>
    <t>RGB(198,113,113)</t>
  </si>
  <si>
    <t xml:space="preserve">      A23</t>
  </si>
  <si>
    <t xml:space="preserve">      A24</t>
  </si>
  <si>
    <t xml:space="preserve">      B1</t>
  </si>
  <si>
    <t>IL-1</t>
  </si>
  <si>
    <t xml:space="preserve">      B2</t>
  </si>
  <si>
    <t xml:space="preserve">      B3</t>
  </si>
  <si>
    <t xml:space="preserve">      B4</t>
  </si>
  <si>
    <t xml:space="preserve">      B5</t>
  </si>
  <si>
    <t xml:space="preserve">      B6</t>
  </si>
  <si>
    <t xml:space="preserve">      B7</t>
  </si>
  <si>
    <t xml:space="preserve">      B8</t>
  </si>
  <si>
    <t xml:space="preserve">      B9</t>
  </si>
  <si>
    <t xml:space="preserve">      B10</t>
  </si>
  <si>
    <t xml:space="preserve">      B11</t>
  </si>
  <si>
    <t xml:space="preserve">      B12</t>
  </si>
  <si>
    <t xml:space="preserve">      B13</t>
  </si>
  <si>
    <t xml:space="preserve">      B14</t>
  </si>
  <si>
    <t xml:space="preserve">      B15</t>
  </si>
  <si>
    <t xml:space="preserve">      B16</t>
  </si>
  <si>
    <t xml:space="preserve">      B17</t>
  </si>
  <si>
    <t xml:space="preserve">      B18</t>
  </si>
  <si>
    <t xml:space="preserve">      B19</t>
  </si>
  <si>
    <t xml:space="preserve">      B20</t>
  </si>
  <si>
    <t xml:space="preserve">      B21</t>
  </si>
  <si>
    <t xml:space="preserve">      B22</t>
  </si>
  <si>
    <t xml:space="preserve">      B23</t>
  </si>
  <si>
    <t xml:space="preserve">      B24</t>
  </si>
  <si>
    <t xml:space="preserve">      C1</t>
  </si>
  <si>
    <t>IL-6</t>
  </si>
  <si>
    <t xml:space="preserve">      C2</t>
  </si>
  <si>
    <t xml:space="preserve">      C3</t>
  </si>
  <si>
    <t xml:space="preserve">      C4</t>
  </si>
  <si>
    <t xml:space="preserve">      C5</t>
  </si>
  <si>
    <t xml:space="preserve">      C6</t>
  </si>
  <si>
    <t xml:space="preserve">      C7</t>
  </si>
  <si>
    <t xml:space="preserve">      C8</t>
  </si>
  <si>
    <t xml:space="preserve">      C9</t>
  </si>
  <si>
    <t xml:space="preserve">      C10</t>
  </si>
  <si>
    <t xml:space="preserve">      C11</t>
  </si>
  <si>
    <t xml:space="preserve">      C12</t>
  </si>
  <si>
    <t xml:space="preserve">      C13</t>
  </si>
  <si>
    <t xml:space="preserve">      C14</t>
  </si>
  <si>
    <t xml:space="preserve">      C15</t>
  </si>
  <si>
    <t xml:space="preserve">      C16</t>
  </si>
  <si>
    <t xml:space="preserve">      C17</t>
  </si>
  <si>
    <t xml:space="preserve">      C18</t>
  </si>
  <si>
    <t xml:space="preserve">      C19</t>
  </si>
  <si>
    <t xml:space="preserve">      C20</t>
  </si>
  <si>
    <t xml:space="preserve">      C21</t>
  </si>
  <si>
    <t xml:space="preserve">      C22</t>
  </si>
  <si>
    <t xml:space="preserve">      C23</t>
  </si>
  <si>
    <t xml:space="preserve">      C24</t>
  </si>
  <si>
    <t xml:space="preserve">      D1</t>
  </si>
  <si>
    <t>TNF</t>
  </si>
  <si>
    <t xml:space="preserve">      D2</t>
  </si>
  <si>
    <t xml:space="preserve">      D3</t>
  </si>
  <si>
    <t xml:space="preserve">      D4</t>
  </si>
  <si>
    <t xml:space="preserve">      D5</t>
  </si>
  <si>
    <t xml:space="preserve">      D6</t>
  </si>
  <si>
    <t xml:space="preserve">      D7</t>
  </si>
  <si>
    <t xml:space="preserve">      D8</t>
  </si>
  <si>
    <t xml:space="preserve">      D9</t>
  </si>
  <si>
    <t xml:space="preserve">      D10</t>
  </si>
  <si>
    <t xml:space="preserve">      D11</t>
  </si>
  <si>
    <t xml:space="preserve">      D12</t>
  </si>
  <si>
    <t xml:space="preserve">      D13</t>
  </si>
  <si>
    <t xml:space="preserve">      D14</t>
  </si>
  <si>
    <t xml:space="preserve">      D15</t>
  </si>
  <si>
    <t xml:space="preserve">      D16</t>
  </si>
  <si>
    <t xml:space="preserve">      D17</t>
  </si>
  <si>
    <t xml:space="preserve">      D18</t>
  </si>
  <si>
    <t xml:space="preserve">      D19</t>
  </si>
  <si>
    <t xml:space="preserve">      D20</t>
  </si>
  <si>
    <t xml:space="preserve">      D21</t>
  </si>
  <si>
    <t xml:space="preserve">      D22</t>
  </si>
  <si>
    <t xml:space="preserve">      D23</t>
  </si>
  <si>
    <t xml:space="preserve">      D24</t>
  </si>
  <si>
    <t xml:space="preserve">      E1</t>
  </si>
  <si>
    <t>iNOS</t>
  </si>
  <si>
    <t xml:space="preserve">      E2</t>
  </si>
  <si>
    <t xml:space="preserve">      E3</t>
  </si>
  <si>
    <t xml:space="preserve">      E4</t>
  </si>
  <si>
    <t xml:space="preserve">      E5</t>
  </si>
  <si>
    <t xml:space="preserve">      E6</t>
  </si>
  <si>
    <t xml:space="preserve">      E7</t>
  </si>
  <si>
    <t xml:space="preserve">      E8</t>
  </si>
  <si>
    <t xml:space="preserve">      E9</t>
  </si>
  <si>
    <t xml:space="preserve">      E10</t>
  </si>
  <si>
    <t xml:space="preserve">      E11</t>
  </si>
  <si>
    <t xml:space="preserve">      E12</t>
  </si>
  <si>
    <t xml:space="preserve">      E13</t>
  </si>
  <si>
    <t xml:space="preserve">      E14</t>
  </si>
  <si>
    <t xml:space="preserve">      E15</t>
  </si>
  <si>
    <t xml:space="preserve">      E16</t>
  </si>
  <si>
    <t xml:space="preserve">      E17</t>
  </si>
  <si>
    <t xml:space="preserve">      E18</t>
  </si>
  <si>
    <t xml:space="preserve">      E19</t>
  </si>
  <si>
    <t xml:space="preserve">      E20</t>
  </si>
  <si>
    <t xml:space="preserve">      E21</t>
  </si>
  <si>
    <t xml:space="preserve">      E22</t>
  </si>
  <si>
    <t xml:space="preserve">      E23</t>
  </si>
  <si>
    <t xml:space="preserve">      E24</t>
  </si>
  <si>
    <t xml:space="preserve">      F1</t>
  </si>
  <si>
    <t>IL-4</t>
  </si>
  <si>
    <t xml:space="preserve">      F2</t>
  </si>
  <si>
    <t xml:space="preserve">      F3</t>
  </si>
  <si>
    <t xml:space="preserve">      F4</t>
  </si>
  <si>
    <t xml:space="preserve">      F5</t>
  </si>
  <si>
    <t xml:space="preserve">      F6</t>
  </si>
  <si>
    <t xml:space="preserve">      F7</t>
  </si>
  <si>
    <t xml:space="preserve">      F8</t>
  </si>
  <si>
    <t xml:space="preserve">      F9</t>
  </si>
  <si>
    <t xml:space="preserve">      F10</t>
  </si>
  <si>
    <t xml:space="preserve">      F11</t>
  </si>
  <si>
    <t xml:space="preserve">      F12</t>
  </si>
  <si>
    <t xml:space="preserve">      F13</t>
  </si>
  <si>
    <t xml:space="preserve">      F14</t>
  </si>
  <si>
    <t xml:space="preserve">      F15</t>
  </si>
  <si>
    <t xml:space="preserve">      F16</t>
  </si>
  <si>
    <t xml:space="preserve">      F17</t>
  </si>
  <si>
    <t xml:space="preserve">      F18</t>
  </si>
  <si>
    <t xml:space="preserve">      F19</t>
  </si>
  <si>
    <t xml:space="preserve">      F20</t>
  </si>
  <si>
    <t xml:space="preserve">      F21</t>
  </si>
  <si>
    <t xml:space="preserve">      F22</t>
  </si>
  <si>
    <t xml:space="preserve">      F23</t>
  </si>
  <si>
    <t xml:space="preserve">      F24</t>
  </si>
  <si>
    <t xml:space="preserve">      G1</t>
  </si>
  <si>
    <t>IL-10</t>
  </si>
  <si>
    <t xml:space="preserve">      G2</t>
  </si>
  <si>
    <t xml:space="preserve">      G3</t>
  </si>
  <si>
    <t xml:space="preserve">      G4</t>
  </si>
  <si>
    <t xml:space="preserve">      G5</t>
  </si>
  <si>
    <t xml:space="preserve">      G6</t>
  </si>
  <si>
    <t xml:space="preserve">      G7</t>
  </si>
  <si>
    <t xml:space="preserve">      G8</t>
  </si>
  <si>
    <t xml:space="preserve">      G9</t>
  </si>
  <si>
    <t xml:space="preserve">      G10</t>
  </si>
  <si>
    <t xml:space="preserve">      G11</t>
  </si>
  <si>
    <t xml:space="preserve">      G12</t>
  </si>
  <si>
    <t xml:space="preserve">      G13</t>
  </si>
  <si>
    <t xml:space="preserve">      G14</t>
  </si>
  <si>
    <t xml:space="preserve">      G15</t>
  </si>
  <si>
    <t xml:space="preserve">      G16</t>
  </si>
  <si>
    <t xml:space="preserve">      G17</t>
  </si>
  <si>
    <t xml:space="preserve">      G18</t>
  </si>
  <si>
    <t xml:space="preserve">      G19</t>
  </si>
  <si>
    <t xml:space="preserve">      G20</t>
  </si>
  <si>
    <t xml:space="preserve">      G21</t>
  </si>
  <si>
    <t xml:space="preserve">      G22</t>
  </si>
  <si>
    <t xml:space="preserve">      G23</t>
  </si>
  <si>
    <t xml:space="preserve">      G24</t>
  </si>
  <si>
    <t xml:space="preserve">      H1</t>
  </si>
  <si>
    <t>Arg-1</t>
  </si>
  <si>
    <t xml:space="preserve">      H2</t>
  </si>
  <si>
    <t xml:space="preserve">      H3</t>
  </si>
  <si>
    <t xml:space="preserve">      H4</t>
  </si>
  <si>
    <t xml:space="preserve">      H5</t>
  </si>
  <si>
    <t xml:space="preserve">      H6</t>
  </si>
  <si>
    <t xml:space="preserve">      H7</t>
  </si>
  <si>
    <t xml:space="preserve">      H8</t>
  </si>
  <si>
    <t xml:space="preserve">      H9</t>
  </si>
  <si>
    <t xml:space="preserve">      H10</t>
  </si>
  <si>
    <t xml:space="preserve">      H11</t>
  </si>
  <si>
    <t xml:space="preserve">      H12</t>
  </si>
  <si>
    <t xml:space="preserve">      H13</t>
  </si>
  <si>
    <t xml:space="preserve">      H14</t>
  </si>
  <si>
    <t xml:space="preserve">      H15</t>
  </si>
  <si>
    <t xml:space="preserve">      H16</t>
  </si>
  <si>
    <t xml:space="preserve">      H17</t>
  </si>
  <si>
    <t xml:space="preserve">      H18</t>
  </si>
  <si>
    <t xml:space="preserve">      H19</t>
  </si>
  <si>
    <t xml:space="preserve">      H20</t>
  </si>
  <si>
    <t xml:space="preserve">      H21</t>
  </si>
  <si>
    <t xml:space="preserve">      H22</t>
  </si>
  <si>
    <t xml:space="preserve">      H23</t>
  </si>
  <si>
    <t xml:space="preserve">      H24</t>
  </si>
  <si>
    <t xml:space="preserve">      I1</t>
  </si>
  <si>
    <t>RGB(0,245,255)</t>
  </si>
  <si>
    <t xml:space="preserve">      I2</t>
  </si>
  <si>
    <t xml:space="preserve">      I3</t>
  </si>
  <si>
    <t xml:space="preserve">      I4</t>
  </si>
  <si>
    <t>C3</t>
  </si>
  <si>
    <t>RGB(238,220,130)</t>
  </si>
  <si>
    <t xml:space="preserve">      I5</t>
  </si>
  <si>
    <t xml:space="preserve">      I6</t>
  </si>
  <si>
    <t xml:space="preserve">      I7</t>
  </si>
  <si>
    <t>N3</t>
  </si>
  <si>
    <t>RGB(255,127,0)</t>
  </si>
  <si>
    <t xml:space="preserve">      I8</t>
  </si>
  <si>
    <t xml:space="preserve">      I9</t>
  </si>
  <si>
    <t xml:space="preserve">      I10</t>
  </si>
  <si>
    <t>P3</t>
  </si>
  <si>
    <t>RGB(142,142,56)</t>
  </si>
  <si>
    <t xml:space="preserve">      I11</t>
  </si>
  <si>
    <t xml:space="preserve">      I12</t>
  </si>
  <si>
    <t xml:space="preserve">      I13</t>
  </si>
  <si>
    <t>RGB(238,44,44)</t>
  </si>
  <si>
    <t xml:space="preserve">      I14</t>
  </si>
  <si>
    <t xml:space="preserve">      I15</t>
  </si>
  <si>
    <t xml:space="preserve">      I16</t>
  </si>
  <si>
    <t>C4</t>
  </si>
  <si>
    <t>RGB(51,161,201)</t>
  </si>
  <si>
    <t xml:space="preserve">      I17</t>
  </si>
  <si>
    <t xml:space="preserve">      I18</t>
  </si>
  <si>
    <t xml:space="preserve">      I19</t>
  </si>
  <si>
    <t>N4</t>
  </si>
  <si>
    <t>RGB(238,18,137)</t>
  </si>
  <si>
    <t xml:space="preserve">      I20</t>
  </si>
  <si>
    <t xml:space="preserve">      I21</t>
  </si>
  <si>
    <t xml:space="preserve">      I22</t>
  </si>
  <si>
    <t>P4</t>
  </si>
  <si>
    <t xml:space="preserve">      I23</t>
  </si>
  <si>
    <t xml:space="preserve">      I24</t>
  </si>
  <si>
    <t xml:space="preserve">      J1</t>
  </si>
  <si>
    <t xml:space="preserve">      J2</t>
  </si>
  <si>
    <t xml:space="preserve">      J3</t>
  </si>
  <si>
    <t xml:space="preserve">      J4</t>
  </si>
  <si>
    <t xml:space="preserve">      J5</t>
  </si>
  <si>
    <t xml:space="preserve">      J6</t>
  </si>
  <si>
    <t xml:space="preserve">      J7</t>
  </si>
  <si>
    <t xml:space="preserve">      J8</t>
  </si>
  <si>
    <t xml:space="preserve">      J9</t>
  </si>
  <si>
    <t xml:space="preserve">      J10</t>
  </si>
  <si>
    <t xml:space="preserve">      J11</t>
  </si>
  <si>
    <t xml:space="preserve">      J12</t>
  </si>
  <si>
    <t xml:space="preserve">      J13</t>
  </si>
  <si>
    <t xml:space="preserve">      J14</t>
  </si>
  <si>
    <t xml:space="preserve">      J15</t>
  </si>
  <si>
    <t xml:space="preserve">      J16</t>
  </si>
  <si>
    <t xml:space="preserve">      J17</t>
  </si>
  <si>
    <t xml:space="preserve">      J18</t>
  </si>
  <si>
    <t xml:space="preserve">      J19</t>
  </si>
  <si>
    <t xml:space="preserve">      J20</t>
  </si>
  <si>
    <t xml:space="preserve">      J21</t>
  </si>
  <si>
    <t xml:space="preserve">      J22</t>
  </si>
  <si>
    <t xml:space="preserve">      J23</t>
  </si>
  <si>
    <t xml:space="preserve">      J24</t>
  </si>
  <si>
    <t xml:space="preserve">      K1</t>
  </si>
  <si>
    <t xml:space="preserve">      K2</t>
  </si>
  <si>
    <t xml:space="preserve">      K3</t>
  </si>
  <si>
    <t xml:space="preserve">      K4</t>
  </si>
  <si>
    <t xml:space="preserve">      K5</t>
  </si>
  <si>
    <t xml:space="preserve">      K6</t>
  </si>
  <si>
    <t xml:space="preserve">      K7</t>
  </si>
  <si>
    <t xml:space="preserve">      K8</t>
  </si>
  <si>
    <t xml:space="preserve">      K9</t>
  </si>
  <si>
    <t xml:space="preserve">      K10</t>
  </si>
  <si>
    <t xml:space="preserve">      K11</t>
  </si>
  <si>
    <t xml:space="preserve">      K12</t>
  </si>
  <si>
    <t xml:space="preserve">      K13</t>
  </si>
  <si>
    <t xml:space="preserve">      K14</t>
  </si>
  <si>
    <t xml:space="preserve">      K15</t>
  </si>
  <si>
    <t xml:space="preserve">      K16</t>
  </si>
  <si>
    <t xml:space="preserve">      K17</t>
  </si>
  <si>
    <t xml:space="preserve">      K18</t>
  </si>
  <si>
    <t xml:space="preserve">      K19</t>
  </si>
  <si>
    <t xml:space="preserve">      K20</t>
  </si>
  <si>
    <t xml:space="preserve">      K21</t>
  </si>
  <si>
    <t xml:space="preserve">      K22</t>
  </si>
  <si>
    <t xml:space="preserve">      K23</t>
  </si>
  <si>
    <t xml:space="preserve">      K24</t>
  </si>
  <si>
    <t xml:space="preserve">      L1</t>
  </si>
  <si>
    <t xml:space="preserve">      L2</t>
  </si>
  <si>
    <t xml:space="preserve">      L3</t>
  </si>
  <si>
    <t xml:space="preserve">      L4</t>
  </si>
  <si>
    <t xml:space="preserve">      L5</t>
  </si>
  <si>
    <t xml:space="preserve">      L6</t>
  </si>
  <si>
    <t xml:space="preserve">      L7</t>
  </si>
  <si>
    <t xml:space="preserve">      L8</t>
  </si>
  <si>
    <t xml:space="preserve">      L9</t>
  </si>
  <si>
    <t xml:space="preserve">      L10</t>
  </si>
  <si>
    <t xml:space="preserve">      L11</t>
  </si>
  <si>
    <t xml:space="preserve">      L12</t>
  </si>
  <si>
    <t xml:space="preserve">      L13</t>
  </si>
  <si>
    <t xml:space="preserve">      L14</t>
  </si>
  <si>
    <t xml:space="preserve">      L15</t>
  </si>
  <si>
    <t xml:space="preserve">      L16</t>
  </si>
  <si>
    <t xml:space="preserve">      L17</t>
  </si>
  <si>
    <t xml:space="preserve">      L18</t>
  </si>
  <si>
    <t xml:space="preserve">      L19</t>
  </si>
  <si>
    <t xml:space="preserve">      L20</t>
  </si>
  <si>
    <t xml:space="preserve">      L21</t>
  </si>
  <si>
    <t xml:space="preserve">      L22</t>
  </si>
  <si>
    <t xml:space="preserve">      L23</t>
  </si>
  <si>
    <t xml:space="preserve">      L24</t>
  </si>
  <si>
    <t xml:space="preserve">      M1</t>
  </si>
  <si>
    <t xml:space="preserve">      M2</t>
  </si>
  <si>
    <t xml:space="preserve">      M3</t>
  </si>
  <si>
    <t xml:space="preserve">      M4</t>
  </si>
  <si>
    <t xml:space="preserve">      M5</t>
  </si>
  <si>
    <t xml:space="preserve">      M6</t>
  </si>
  <si>
    <t xml:space="preserve">      M7</t>
  </si>
  <si>
    <t xml:space="preserve">      M8</t>
  </si>
  <si>
    <t xml:space="preserve">      M9</t>
  </si>
  <si>
    <t xml:space="preserve">      M10</t>
  </si>
  <si>
    <t xml:space="preserve">      M11</t>
  </si>
  <si>
    <t xml:space="preserve">      M12</t>
  </si>
  <si>
    <t xml:space="preserve">      M13</t>
  </si>
  <si>
    <t xml:space="preserve">      M14</t>
  </si>
  <si>
    <t xml:space="preserve">      M15</t>
  </si>
  <si>
    <t xml:space="preserve">      M16</t>
  </si>
  <si>
    <t xml:space="preserve">      M17</t>
  </si>
  <si>
    <t xml:space="preserve">      M18</t>
  </si>
  <si>
    <t xml:space="preserve">      M19</t>
  </si>
  <si>
    <t xml:space="preserve">      M20</t>
  </si>
  <si>
    <t xml:space="preserve">      M21</t>
  </si>
  <si>
    <t xml:space="preserve">      M22</t>
  </si>
  <si>
    <t xml:space="preserve">      M23</t>
  </si>
  <si>
    <t xml:space="preserve">      M24</t>
  </si>
  <si>
    <t xml:space="preserve">      N1</t>
  </si>
  <si>
    <t xml:space="preserve">      N2</t>
  </si>
  <si>
    <t xml:space="preserve">      N3</t>
  </si>
  <si>
    <t xml:space="preserve">      N4</t>
  </si>
  <si>
    <t xml:space="preserve">      N5</t>
  </si>
  <si>
    <t xml:space="preserve">      N6</t>
  </si>
  <si>
    <t xml:space="preserve">      N7</t>
  </si>
  <si>
    <t xml:space="preserve">      N8</t>
  </si>
  <si>
    <t xml:space="preserve">      N9</t>
  </si>
  <si>
    <t xml:space="preserve">      N10</t>
  </si>
  <si>
    <t xml:space="preserve">      N11</t>
  </si>
  <si>
    <t xml:space="preserve">      N12</t>
  </si>
  <si>
    <t xml:space="preserve">      N13</t>
  </si>
  <si>
    <t xml:space="preserve">      N14</t>
  </si>
  <si>
    <t xml:space="preserve">      N15</t>
  </si>
  <si>
    <t xml:space="preserve">      N16</t>
  </si>
  <si>
    <t xml:space="preserve">      N17</t>
  </si>
  <si>
    <t xml:space="preserve">      N18</t>
  </si>
  <si>
    <t xml:space="preserve">      N19</t>
  </si>
  <si>
    <t xml:space="preserve">      N20</t>
  </si>
  <si>
    <t xml:space="preserve">      N21</t>
  </si>
  <si>
    <t xml:space="preserve">      N22</t>
  </si>
  <si>
    <t xml:space="preserve">      N23</t>
  </si>
  <si>
    <t xml:space="preserve">      N24</t>
  </si>
  <si>
    <t xml:space="preserve">      O1</t>
  </si>
  <si>
    <t xml:space="preserve">      O2</t>
  </si>
  <si>
    <t xml:space="preserve">      O3</t>
  </si>
  <si>
    <t xml:space="preserve">      O4</t>
  </si>
  <si>
    <t xml:space="preserve">      O5</t>
  </si>
  <si>
    <t xml:space="preserve">      O6</t>
  </si>
  <si>
    <t xml:space="preserve">      O7</t>
  </si>
  <si>
    <t xml:space="preserve">      O8</t>
  </si>
  <si>
    <t xml:space="preserve">      O9</t>
  </si>
  <si>
    <t xml:space="preserve">      O10</t>
  </si>
  <si>
    <t xml:space="preserve">      O11</t>
  </si>
  <si>
    <t xml:space="preserve">      O12</t>
  </si>
  <si>
    <t xml:space="preserve">      O13</t>
  </si>
  <si>
    <t xml:space="preserve">      O14</t>
  </si>
  <si>
    <t xml:space="preserve">      O15</t>
  </si>
  <si>
    <t xml:space="preserve">      O16</t>
  </si>
  <si>
    <t xml:space="preserve">      O17</t>
  </si>
  <si>
    <t xml:space="preserve">      O18</t>
  </si>
  <si>
    <t xml:space="preserve">      O19</t>
  </si>
  <si>
    <t xml:space="preserve">      O20</t>
  </si>
  <si>
    <t xml:space="preserve">      O21</t>
  </si>
  <si>
    <t xml:space="preserve">      O22</t>
  </si>
  <si>
    <t xml:space="preserve">      O23</t>
  </si>
  <si>
    <t xml:space="preserve">      O24</t>
  </si>
  <si>
    <t xml:space="preserve">      P1</t>
  </si>
  <si>
    <t xml:space="preserve">      P2</t>
  </si>
  <si>
    <t xml:space="preserve">      P3</t>
  </si>
  <si>
    <t xml:space="preserve">      P4</t>
  </si>
  <si>
    <t xml:space="preserve">      P5</t>
  </si>
  <si>
    <t xml:space="preserve">      P6</t>
  </si>
  <si>
    <t xml:space="preserve">      P7</t>
  </si>
  <si>
    <t xml:space="preserve">      P8</t>
  </si>
  <si>
    <t xml:space="preserve">      P9</t>
  </si>
  <si>
    <t xml:space="preserve">      P10</t>
  </si>
  <si>
    <t xml:space="preserve">      P11</t>
  </si>
  <si>
    <t xml:space="preserve">      P12</t>
  </si>
  <si>
    <t xml:space="preserve">      P13</t>
  </si>
  <si>
    <t xml:space="preserve">      P14</t>
  </si>
  <si>
    <t xml:space="preserve">      P15</t>
  </si>
  <si>
    <t xml:space="preserve">      P16</t>
  </si>
  <si>
    <t xml:space="preserve">      P17</t>
  </si>
  <si>
    <t xml:space="preserve">      P18</t>
  </si>
  <si>
    <t xml:space="preserve">      P19</t>
  </si>
  <si>
    <t xml:space="preserve">      P20</t>
  </si>
  <si>
    <t xml:space="preserve">      P21</t>
  </si>
  <si>
    <t xml:space="preserve">      P22</t>
  </si>
  <si>
    <t xml:space="preserve">      P23</t>
  </si>
  <si>
    <t xml:space="preserve">      P24</t>
  </si>
  <si>
    <t>CT</t>
  </si>
  <si>
    <t>921(1)</t>
  </si>
  <si>
    <t>mean</t>
  </si>
  <si>
    <t>Δt</t>
  </si>
  <si>
    <t>meanΔt</t>
  </si>
  <si>
    <t>ΔΔt</t>
  </si>
  <si>
    <t>con12</t>
    <phoneticPr fontId="2" type="noConversion"/>
  </si>
  <si>
    <t>OE12</t>
  </si>
  <si>
    <t>SH12</t>
  </si>
  <si>
    <t>U612</t>
  </si>
  <si>
    <t>GFP12</t>
  </si>
  <si>
    <t>OE+SH12</t>
  </si>
  <si>
    <t>SMAD1</t>
  </si>
  <si>
    <t>ZNF862</t>
  </si>
  <si>
    <t>CCL2</t>
  </si>
  <si>
    <t>FOS</t>
  </si>
  <si>
    <t>CON24</t>
  </si>
  <si>
    <t>OE24</t>
  </si>
  <si>
    <t>SH24</t>
  </si>
  <si>
    <t>U624</t>
  </si>
  <si>
    <t>GFP24</t>
  </si>
  <si>
    <t>OE+SH24</t>
  </si>
  <si>
    <t>U6</t>
  </si>
  <si>
    <t>18S</t>
  </si>
  <si>
    <t>CCL2</t>
    <phoneticPr fontId="2" type="noConversion"/>
  </si>
  <si>
    <t>AGT</t>
  </si>
  <si>
    <t>COL1A1</t>
  </si>
  <si>
    <t>FN1</t>
  </si>
  <si>
    <t>ACTA1</t>
  </si>
  <si>
    <t>ACTA2</t>
  </si>
  <si>
    <t>UN</t>
  </si>
  <si>
    <t>SC1</t>
  </si>
  <si>
    <t>SC2</t>
  </si>
  <si>
    <t>S1</t>
  </si>
  <si>
    <t>S2</t>
  </si>
  <si>
    <t>G</t>
  </si>
  <si>
    <t>SOS1</t>
  </si>
  <si>
    <t>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</si>
</sst>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86" formatCode="#,##0.000"/>
    <numFmt numFmtId="187" formatCode="#,##0.000_ "/>
  </numFmts>
  <fonts count="7">
    <font>
      <sz val="10"/>
      <name val="Arial"/>
    </font>
    <font>
      <sz val="10"/>
      <name val="Arial"/>
      <family val="2"/>
    </font>
    <font>
      <sz val="9"/>
      <name val="宋体"/>
      <family val="3"/>
      <charset val="134"/>
    </font>
    <font>
      <sz val="10"/>
      <name val="Arial"/>
      <family val="2"/>
    </font>
    <font>
      <sz val="9"/>
      <name val="宋体"/>
      <family val="3"/>
      <charset val="134"/>
    </font>
    <font>
      <sz val="10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23">
    <xf numFmtId="0" fontId="0" fillId="0" borderId="0" xfId="0"/>
    <xf numFmtId="0" fontId="1" fillId="0" borderId="0" xfId="0" applyFont="1" applyFill="1" applyAlignment="1"/>
    <xf numFmtId="186" fontId="0" fillId="0" borderId="0" xfId="0" applyNumberFormat="1"/>
    <xf numFmtId="186" fontId="0" fillId="0" borderId="0" xfId="0" applyNumberFormat="1" applyBorder="1"/>
    <xf numFmtId="186" fontId="1" fillId="0" borderId="0" xfId="0" applyNumberFormat="1" applyFont="1" applyFill="1" applyAlignment="1"/>
    <xf numFmtId="0" fontId="1" fillId="2" borderId="0" xfId="0" applyFont="1" applyFill="1" applyAlignment="1"/>
    <xf numFmtId="0" fontId="1" fillId="0" borderId="0" xfId="0" applyFont="1" applyFill="1" applyBorder="1" applyAlignment="1"/>
    <xf numFmtId="187" fontId="1" fillId="0" borderId="0" xfId="0" applyNumberFormat="1" applyFont="1" applyFill="1" applyAlignment="1"/>
    <xf numFmtId="186" fontId="6" fillId="0" borderId="0" xfId="0" applyNumberFormat="1" applyFont="1"/>
    <xf numFmtId="186" fontId="3" fillId="0" borderId="0" xfId="0" applyNumberFormat="1" applyFont="1" applyFill="1" applyAlignment="1"/>
    <xf numFmtId="0" fontId="3" fillId="0" borderId="0" xfId="0" applyFont="1"/>
    <xf numFmtId="186" fontId="0" fillId="2" borderId="0" xfId="0" applyNumberFormat="1" applyFill="1"/>
    <xf numFmtId="187" fontId="3" fillId="0" borderId="0" xfId="0" applyNumberFormat="1" applyFont="1"/>
    <xf numFmtId="0" fontId="1" fillId="0" borderId="0" xfId="0" applyFont="1"/>
    <xf numFmtId="186" fontId="6" fillId="2" borderId="0" xfId="0" applyNumberFormat="1" applyFont="1" applyFill="1"/>
    <xf numFmtId="186" fontId="6" fillId="3" borderId="0" xfId="0" applyNumberFormat="1" applyFont="1" applyFill="1"/>
    <xf numFmtId="0" fontId="1" fillId="0" borderId="0" xfId="1"/>
    <xf numFmtId="49" fontId="1" fillId="0" borderId="0" xfId="1" applyNumberFormat="1"/>
    <xf numFmtId="49" fontId="1" fillId="2" borderId="0" xfId="1" applyNumberFormat="1" applyFill="1"/>
    <xf numFmtId="186" fontId="1" fillId="0" borderId="0" xfId="1" applyNumberFormat="1"/>
    <xf numFmtId="187" fontId="1" fillId="0" borderId="0" xfId="1" applyNumberFormat="1"/>
    <xf numFmtId="0" fontId="5" fillId="0" borderId="0" xfId="1" applyFont="1"/>
    <xf numFmtId="186" fontId="6" fillId="0" borderId="0" xfId="0" applyNumberFormat="1" applyFont="1"/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ambria-Calibri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417"/>
  <sheetViews>
    <sheetView topLeftCell="A77" workbookViewId="0"/>
  </sheetViews>
  <sheetFormatPr baseColWidth="10" defaultColWidth="8.6640625" defaultRowHeight="13"/>
  <sheetData>
    <row r="1" spans="1:2">
      <c r="A1" t="s">
        <v>0</v>
      </c>
      <c r="B1" t="s">
        <v>1</v>
      </c>
    </row>
    <row r="2" spans="1:2">
      <c r="A2" t="s">
        <v>2</v>
      </c>
      <c r="B2" t="s">
        <v>3</v>
      </c>
    </row>
    <row r="3" spans="1:2">
      <c r="A3" t="s">
        <v>4</v>
      </c>
      <c r="B3" t="s">
        <v>5</v>
      </c>
    </row>
    <row r="4" spans="1:2">
      <c r="A4" t="s">
        <v>6</v>
      </c>
      <c r="B4" t="s">
        <v>3</v>
      </c>
    </row>
    <row r="5" spans="1:2">
      <c r="A5" t="s">
        <v>7</v>
      </c>
      <c r="B5" t="s">
        <v>8</v>
      </c>
    </row>
    <row r="6" spans="1:2">
      <c r="A6" t="s">
        <v>9</v>
      </c>
      <c r="B6" t="s">
        <v>3</v>
      </c>
    </row>
    <row r="7" spans="1:2">
      <c r="A7" t="s">
        <v>10</v>
      </c>
      <c r="B7" t="s">
        <v>11</v>
      </c>
    </row>
    <row r="8" spans="1:2">
      <c r="A8" t="s">
        <v>12</v>
      </c>
      <c r="B8" t="s">
        <v>3</v>
      </c>
    </row>
    <row r="9" spans="1:2">
      <c r="A9" t="s">
        <v>13</v>
      </c>
      <c r="B9" t="s">
        <v>14</v>
      </c>
    </row>
    <row r="10" spans="1:2">
      <c r="A10" t="s">
        <v>15</v>
      </c>
      <c r="B10" t="s">
        <v>3</v>
      </c>
    </row>
    <row r="11" spans="1:2">
      <c r="A11" t="s">
        <v>16</v>
      </c>
      <c r="B11" t="s">
        <v>17</v>
      </c>
    </row>
    <row r="12" spans="1:2">
      <c r="A12" t="s">
        <v>18</v>
      </c>
      <c r="B12" t="s">
        <v>3</v>
      </c>
    </row>
    <row r="13" spans="1:2">
      <c r="A13" t="s">
        <v>19</v>
      </c>
      <c r="B13" t="s">
        <v>20</v>
      </c>
    </row>
    <row r="14" spans="1:2">
      <c r="A14" t="s">
        <v>21</v>
      </c>
      <c r="B14" t="s">
        <v>3</v>
      </c>
    </row>
    <row r="15" spans="1:2">
      <c r="A15" t="s">
        <v>22</v>
      </c>
      <c r="B15" t="s">
        <v>23</v>
      </c>
    </row>
    <row r="16" spans="1:2">
      <c r="A16" t="s">
        <v>24</v>
      </c>
      <c r="B16" t="s">
        <v>3</v>
      </c>
    </row>
    <row r="17" spans="1:2">
      <c r="A17" t="s">
        <v>25</v>
      </c>
      <c r="B17" t="s">
        <v>26</v>
      </c>
    </row>
    <row r="18" spans="1:2">
      <c r="A18" t="s">
        <v>27</v>
      </c>
      <c r="B18" t="s">
        <v>3</v>
      </c>
    </row>
    <row r="19" spans="1:2">
      <c r="A19" t="s">
        <v>28</v>
      </c>
      <c r="B19" t="s">
        <v>29</v>
      </c>
    </row>
    <row r="20" spans="1:2">
      <c r="A20" t="s">
        <v>30</v>
      </c>
      <c r="B20" t="s">
        <v>31</v>
      </c>
    </row>
    <row r="21" spans="1:2">
      <c r="A21" t="s">
        <v>32</v>
      </c>
      <c r="B21" t="s">
        <v>33</v>
      </c>
    </row>
    <row r="22" spans="1:2">
      <c r="A22" t="s">
        <v>34</v>
      </c>
      <c r="B22" t="s">
        <v>35</v>
      </c>
    </row>
    <row r="23" spans="1:2">
      <c r="A23" t="s">
        <v>36</v>
      </c>
      <c r="B23" t="s">
        <v>37</v>
      </c>
    </row>
    <row r="24" spans="1:2">
      <c r="A24" t="s">
        <v>38</v>
      </c>
      <c r="B24" t="s">
        <v>39</v>
      </c>
    </row>
    <row r="25" spans="1:2">
      <c r="A25" t="s">
        <v>40</v>
      </c>
      <c r="B25" t="s">
        <v>41</v>
      </c>
    </row>
    <row r="26" spans="1:2">
      <c r="A26" t="s">
        <v>42</v>
      </c>
      <c r="B26" t="s">
        <v>41</v>
      </c>
    </row>
    <row r="27" spans="1:2">
      <c r="A27" t="s">
        <v>43</v>
      </c>
      <c r="B27" t="s">
        <v>44</v>
      </c>
    </row>
    <row r="28" spans="1:2">
      <c r="A28" t="s">
        <v>45</v>
      </c>
      <c r="B28" t="s">
        <v>46</v>
      </c>
    </row>
    <row r="29" spans="1:2">
      <c r="A29" t="s">
        <v>47</v>
      </c>
      <c r="B29" t="s">
        <v>48</v>
      </c>
    </row>
    <row r="30" spans="1:2">
      <c r="A30" t="s">
        <v>49</v>
      </c>
      <c r="B30" t="s">
        <v>50</v>
      </c>
    </row>
    <row r="31" spans="1:2">
      <c r="A31" t="s">
        <v>51</v>
      </c>
      <c r="B31" t="s">
        <v>52</v>
      </c>
    </row>
    <row r="33" spans="1:13">
      <c r="A33" t="s">
        <v>53</v>
      </c>
      <c r="B33" t="s">
        <v>54</v>
      </c>
      <c r="C33" t="s">
        <v>55</v>
      </c>
      <c r="D33" t="s">
        <v>56</v>
      </c>
      <c r="E33" t="s">
        <v>57</v>
      </c>
      <c r="F33" t="s">
        <v>58</v>
      </c>
      <c r="G33" t="s">
        <v>59</v>
      </c>
      <c r="H33" t="s">
        <v>60</v>
      </c>
      <c r="I33" t="s">
        <v>61</v>
      </c>
      <c r="J33" t="s">
        <v>62</v>
      </c>
      <c r="K33" t="s">
        <v>63</v>
      </c>
      <c r="L33" t="s">
        <v>64</v>
      </c>
      <c r="M33" t="s">
        <v>65</v>
      </c>
    </row>
    <row r="34" spans="1:13">
      <c r="A34">
        <v>1</v>
      </c>
      <c r="B34" t="s">
        <v>66</v>
      </c>
      <c r="C34" s="2">
        <v>1</v>
      </c>
      <c r="D34" t="s">
        <v>67</v>
      </c>
      <c r="E34" t="s">
        <v>68</v>
      </c>
      <c r="F34" t="s">
        <v>68</v>
      </c>
      <c r="G34" t="s">
        <v>69</v>
      </c>
      <c r="H34" t="s">
        <v>67</v>
      </c>
      <c r="I34" t="s">
        <v>70</v>
      </c>
      <c r="J34" t="s">
        <v>71</v>
      </c>
      <c r="K34" t="s">
        <v>72</v>
      </c>
      <c r="L34" t="s">
        <v>68</v>
      </c>
      <c r="M34" t="s">
        <v>68</v>
      </c>
    </row>
    <row r="35" spans="1:13">
      <c r="A35">
        <v>2</v>
      </c>
      <c r="B35" t="s">
        <v>73</v>
      </c>
      <c r="C35" s="2">
        <v>1</v>
      </c>
      <c r="D35" t="s">
        <v>67</v>
      </c>
      <c r="E35" t="s">
        <v>68</v>
      </c>
      <c r="F35" t="s">
        <v>68</v>
      </c>
      <c r="G35" t="s">
        <v>69</v>
      </c>
      <c r="H35" t="s">
        <v>67</v>
      </c>
      <c r="I35" t="s">
        <v>70</v>
      </c>
      <c r="J35" t="s">
        <v>71</v>
      </c>
      <c r="K35" t="s">
        <v>72</v>
      </c>
      <c r="L35" t="s">
        <v>68</v>
      </c>
      <c r="M35" t="s">
        <v>68</v>
      </c>
    </row>
    <row r="36" spans="1:13">
      <c r="A36">
        <v>3</v>
      </c>
      <c r="B36" t="s">
        <v>74</v>
      </c>
      <c r="C36" s="2">
        <v>1</v>
      </c>
      <c r="D36" t="s">
        <v>67</v>
      </c>
      <c r="E36" t="s">
        <v>68</v>
      </c>
      <c r="F36" t="s">
        <v>68</v>
      </c>
      <c r="G36" t="s">
        <v>69</v>
      </c>
      <c r="H36" t="s">
        <v>67</v>
      </c>
      <c r="I36" t="s">
        <v>70</v>
      </c>
      <c r="J36" t="s">
        <v>71</v>
      </c>
      <c r="K36" t="s">
        <v>72</v>
      </c>
      <c r="L36" t="s">
        <v>68</v>
      </c>
      <c r="M36" t="s">
        <v>68</v>
      </c>
    </row>
    <row r="37" spans="1:13">
      <c r="A37">
        <v>4</v>
      </c>
      <c r="B37" t="s">
        <v>75</v>
      </c>
      <c r="C37" t="s">
        <v>76</v>
      </c>
      <c r="D37" t="s">
        <v>77</v>
      </c>
      <c r="E37" t="s">
        <v>68</v>
      </c>
      <c r="F37" t="s">
        <v>68</v>
      </c>
      <c r="G37" t="s">
        <v>69</v>
      </c>
      <c r="H37" t="s">
        <v>67</v>
      </c>
      <c r="I37" t="s">
        <v>70</v>
      </c>
      <c r="J37" t="s">
        <v>71</v>
      </c>
      <c r="K37" t="s">
        <v>72</v>
      </c>
      <c r="L37" t="s">
        <v>68</v>
      </c>
      <c r="M37" t="s">
        <v>68</v>
      </c>
    </row>
    <row r="38" spans="1:13">
      <c r="A38">
        <v>5</v>
      </c>
      <c r="B38" t="s">
        <v>78</v>
      </c>
      <c r="C38" t="s">
        <v>76</v>
      </c>
      <c r="D38" t="s">
        <v>77</v>
      </c>
      <c r="E38" t="s">
        <v>68</v>
      </c>
      <c r="F38" t="s">
        <v>68</v>
      </c>
      <c r="G38" t="s">
        <v>69</v>
      </c>
      <c r="H38" t="s">
        <v>67</v>
      </c>
      <c r="I38" t="s">
        <v>70</v>
      </c>
      <c r="J38" t="s">
        <v>71</v>
      </c>
      <c r="K38" t="s">
        <v>72</v>
      </c>
      <c r="L38" t="s">
        <v>68</v>
      </c>
      <c r="M38" t="s">
        <v>68</v>
      </c>
    </row>
    <row r="39" spans="1:13">
      <c r="A39">
        <v>6</v>
      </c>
      <c r="B39" t="s">
        <v>79</v>
      </c>
      <c r="C39" t="s">
        <v>76</v>
      </c>
      <c r="D39" t="s">
        <v>77</v>
      </c>
      <c r="E39" t="s">
        <v>68</v>
      </c>
      <c r="F39" t="s">
        <v>68</v>
      </c>
      <c r="G39" t="s">
        <v>69</v>
      </c>
      <c r="H39" t="s">
        <v>67</v>
      </c>
      <c r="I39" t="s">
        <v>70</v>
      </c>
      <c r="J39" t="s">
        <v>71</v>
      </c>
      <c r="K39" t="s">
        <v>72</v>
      </c>
      <c r="L39" t="s">
        <v>68</v>
      </c>
      <c r="M39" t="s">
        <v>68</v>
      </c>
    </row>
    <row r="40" spans="1:13">
      <c r="A40">
        <v>7</v>
      </c>
      <c r="B40" t="s">
        <v>80</v>
      </c>
      <c r="C40" t="s">
        <v>81</v>
      </c>
      <c r="D40" t="s">
        <v>82</v>
      </c>
      <c r="E40" t="s">
        <v>68</v>
      </c>
      <c r="F40" t="s">
        <v>68</v>
      </c>
      <c r="G40" t="s">
        <v>69</v>
      </c>
      <c r="H40" t="s">
        <v>67</v>
      </c>
      <c r="I40" t="s">
        <v>70</v>
      </c>
      <c r="J40" t="s">
        <v>71</v>
      </c>
      <c r="K40" t="s">
        <v>72</v>
      </c>
      <c r="L40" t="s">
        <v>68</v>
      </c>
      <c r="M40" t="s">
        <v>68</v>
      </c>
    </row>
    <row r="41" spans="1:13">
      <c r="A41">
        <v>8</v>
      </c>
      <c r="B41" t="s">
        <v>83</v>
      </c>
      <c r="C41" t="s">
        <v>81</v>
      </c>
      <c r="D41" t="s">
        <v>82</v>
      </c>
      <c r="E41" t="s">
        <v>68</v>
      </c>
      <c r="F41" t="s">
        <v>68</v>
      </c>
      <c r="G41" t="s">
        <v>69</v>
      </c>
      <c r="H41" t="s">
        <v>67</v>
      </c>
      <c r="I41" t="s">
        <v>70</v>
      </c>
      <c r="J41" t="s">
        <v>71</v>
      </c>
      <c r="K41" t="s">
        <v>72</v>
      </c>
      <c r="L41" t="s">
        <v>68</v>
      </c>
      <c r="M41" t="s">
        <v>68</v>
      </c>
    </row>
    <row r="42" spans="1:13">
      <c r="A42">
        <v>9</v>
      </c>
      <c r="B42" t="s">
        <v>84</v>
      </c>
      <c r="C42" t="s">
        <v>81</v>
      </c>
      <c r="D42" t="s">
        <v>82</v>
      </c>
      <c r="E42" t="s">
        <v>68</v>
      </c>
      <c r="F42" t="s">
        <v>68</v>
      </c>
      <c r="G42" t="s">
        <v>69</v>
      </c>
      <c r="H42" t="s">
        <v>67</v>
      </c>
      <c r="I42" t="s">
        <v>70</v>
      </c>
      <c r="J42" t="s">
        <v>71</v>
      </c>
      <c r="K42" t="s">
        <v>72</v>
      </c>
      <c r="L42" t="s">
        <v>68</v>
      </c>
      <c r="M42" t="s">
        <v>68</v>
      </c>
    </row>
    <row r="43" spans="1:13">
      <c r="A43">
        <v>10</v>
      </c>
      <c r="B43" t="s">
        <v>85</v>
      </c>
      <c r="C43" t="s">
        <v>86</v>
      </c>
      <c r="D43" t="s">
        <v>87</v>
      </c>
      <c r="E43" t="s">
        <v>68</v>
      </c>
      <c r="F43" t="s">
        <v>68</v>
      </c>
      <c r="G43" t="s">
        <v>69</v>
      </c>
      <c r="H43" t="s">
        <v>67</v>
      </c>
      <c r="I43" t="s">
        <v>70</v>
      </c>
      <c r="J43" t="s">
        <v>71</v>
      </c>
      <c r="K43" t="s">
        <v>72</v>
      </c>
      <c r="L43" t="s">
        <v>68</v>
      </c>
      <c r="M43" t="s">
        <v>68</v>
      </c>
    </row>
    <row r="44" spans="1:13">
      <c r="A44">
        <v>11</v>
      </c>
      <c r="B44" t="s">
        <v>88</v>
      </c>
      <c r="C44" t="s">
        <v>86</v>
      </c>
      <c r="D44" t="s">
        <v>87</v>
      </c>
      <c r="E44" t="s">
        <v>68</v>
      </c>
      <c r="F44" t="s">
        <v>68</v>
      </c>
      <c r="G44" t="s">
        <v>69</v>
      </c>
      <c r="H44" t="s">
        <v>67</v>
      </c>
      <c r="I44" t="s">
        <v>70</v>
      </c>
      <c r="J44" t="s">
        <v>71</v>
      </c>
      <c r="K44" t="s">
        <v>72</v>
      </c>
      <c r="L44" t="s">
        <v>68</v>
      </c>
      <c r="M44" t="s">
        <v>68</v>
      </c>
    </row>
    <row r="45" spans="1:13">
      <c r="A45">
        <v>12</v>
      </c>
      <c r="B45" t="s">
        <v>89</v>
      </c>
      <c r="C45" t="s">
        <v>86</v>
      </c>
      <c r="D45" t="s">
        <v>87</v>
      </c>
      <c r="E45" t="s">
        <v>68</v>
      </c>
      <c r="F45" t="s">
        <v>68</v>
      </c>
      <c r="G45" t="s">
        <v>69</v>
      </c>
      <c r="H45" t="s">
        <v>67</v>
      </c>
      <c r="I45" t="s">
        <v>70</v>
      </c>
      <c r="J45" t="s">
        <v>71</v>
      </c>
      <c r="K45" t="s">
        <v>72</v>
      </c>
      <c r="L45" t="s">
        <v>68</v>
      </c>
      <c r="M45" t="s">
        <v>68</v>
      </c>
    </row>
    <row r="46" spans="1:13">
      <c r="A46">
        <v>13</v>
      </c>
      <c r="B46" t="s">
        <v>90</v>
      </c>
      <c r="C46" s="2">
        <v>2</v>
      </c>
      <c r="D46" t="s">
        <v>91</v>
      </c>
      <c r="E46" t="s">
        <v>68</v>
      </c>
      <c r="F46" t="s">
        <v>68</v>
      </c>
      <c r="G46" t="s">
        <v>69</v>
      </c>
      <c r="H46" t="s">
        <v>67</v>
      </c>
      <c r="I46" t="s">
        <v>70</v>
      </c>
      <c r="J46" t="s">
        <v>71</v>
      </c>
      <c r="K46" t="s">
        <v>72</v>
      </c>
      <c r="L46" t="s">
        <v>68</v>
      </c>
      <c r="M46" t="s">
        <v>68</v>
      </c>
    </row>
    <row r="47" spans="1:13">
      <c r="A47">
        <v>14</v>
      </c>
      <c r="B47" t="s">
        <v>92</v>
      </c>
      <c r="C47" s="2">
        <v>2</v>
      </c>
      <c r="D47" t="s">
        <v>91</v>
      </c>
      <c r="E47" t="s">
        <v>68</v>
      </c>
      <c r="F47" t="s">
        <v>68</v>
      </c>
      <c r="G47" t="s">
        <v>69</v>
      </c>
      <c r="H47" t="s">
        <v>67</v>
      </c>
      <c r="I47" t="s">
        <v>70</v>
      </c>
      <c r="J47" t="s">
        <v>71</v>
      </c>
      <c r="K47" t="s">
        <v>72</v>
      </c>
      <c r="L47" t="s">
        <v>68</v>
      </c>
      <c r="M47" t="s">
        <v>68</v>
      </c>
    </row>
    <row r="48" spans="1:13">
      <c r="A48">
        <v>15</v>
      </c>
      <c r="B48" t="s">
        <v>93</v>
      </c>
      <c r="C48" s="2">
        <v>2</v>
      </c>
      <c r="D48" t="s">
        <v>91</v>
      </c>
      <c r="E48" t="s">
        <v>68</v>
      </c>
      <c r="F48" t="s">
        <v>68</v>
      </c>
      <c r="G48" t="s">
        <v>69</v>
      </c>
      <c r="H48" t="s">
        <v>67</v>
      </c>
      <c r="I48" t="s">
        <v>70</v>
      </c>
      <c r="J48" t="s">
        <v>71</v>
      </c>
      <c r="K48" t="s">
        <v>72</v>
      </c>
      <c r="L48" t="s">
        <v>68</v>
      </c>
      <c r="M48" t="s">
        <v>68</v>
      </c>
    </row>
    <row r="49" spans="1:13">
      <c r="A49">
        <v>16</v>
      </c>
      <c r="B49" t="s">
        <v>94</v>
      </c>
      <c r="C49" t="s">
        <v>95</v>
      </c>
      <c r="D49" t="s">
        <v>96</v>
      </c>
      <c r="E49" t="s">
        <v>68</v>
      </c>
      <c r="F49" t="s">
        <v>68</v>
      </c>
      <c r="G49" t="s">
        <v>69</v>
      </c>
      <c r="H49" t="s">
        <v>67</v>
      </c>
      <c r="I49" t="s">
        <v>70</v>
      </c>
      <c r="J49" t="s">
        <v>71</v>
      </c>
      <c r="K49" t="s">
        <v>72</v>
      </c>
      <c r="L49" t="s">
        <v>68</v>
      </c>
      <c r="M49" t="s">
        <v>68</v>
      </c>
    </row>
    <row r="50" spans="1:13">
      <c r="A50">
        <v>17</v>
      </c>
      <c r="B50" t="s">
        <v>97</v>
      </c>
      <c r="C50" t="s">
        <v>95</v>
      </c>
      <c r="D50" t="s">
        <v>96</v>
      </c>
      <c r="E50" t="s">
        <v>68</v>
      </c>
      <c r="F50" t="s">
        <v>68</v>
      </c>
      <c r="G50" t="s">
        <v>69</v>
      </c>
      <c r="H50" t="s">
        <v>67</v>
      </c>
      <c r="I50" t="s">
        <v>70</v>
      </c>
      <c r="J50" t="s">
        <v>71</v>
      </c>
      <c r="K50" t="s">
        <v>72</v>
      </c>
      <c r="L50" t="s">
        <v>68</v>
      </c>
      <c r="M50" t="s">
        <v>68</v>
      </c>
    </row>
    <row r="51" spans="1:13">
      <c r="A51">
        <v>18</v>
      </c>
      <c r="B51" t="s">
        <v>98</v>
      </c>
      <c r="C51" t="s">
        <v>95</v>
      </c>
      <c r="D51" t="s">
        <v>96</v>
      </c>
      <c r="E51" t="s">
        <v>68</v>
      </c>
      <c r="F51" t="s">
        <v>68</v>
      </c>
      <c r="G51" t="s">
        <v>69</v>
      </c>
      <c r="H51" t="s">
        <v>67</v>
      </c>
      <c r="I51" t="s">
        <v>70</v>
      </c>
      <c r="J51" t="s">
        <v>71</v>
      </c>
      <c r="K51" t="s">
        <v>72</v>
      </c>
      <c r="L51" t="s">
        <v>68</v>
      </c>
      <c r="M51" t="s">
        <v>68</v>
      </c>
    </row>
    <row r="52" spans="1:13">
      <c r="A52">
        <v>19</v>
      </c>
      <c r="B52" t="s">
        <v>99</v>
      </c>
      <c r="C52" t="s">
        <v>100</v>
      </c>
      <c r="D52" t="s">
        <v>101</v>
      </c>
      <c r="E52" t="s">
        <v>68</v>
      </c>
      <c r="F52" t="s">
        <v>68</v>
      </c>
      <c r="G52" t="s">
        <v>69</v>
      </c>
      <c r="H52" t="s">
        <v>67</v>
      </c>
      <c r="I52" t="s">
        <v>70</v>
      </c>
      <c r="J52" t="s">
        <v>71</v>
      </c>
      <c r="K52" t="s">
        <v>72</v>
      </c>
      <c r="L52" t="s">
        <v>68</v>
      </c>
      <c r="M52" t="s">
        <v>68</v>
      </c>
    </row>
    <row r="53" spans="1:13">
      <c r="A53">
        <v>20</v>
      </c>
      <c r="B53" t="s">
        <v>102</v>
      </c>
      <c r="C53" t="s">
        <v>100</v>
      </c>
      <c r="D53" t="s">
        <v>101</v>
      </c>
      <c r="E53" t="s">
        <v>68</v>
      </c>
      <c r="F53" t="s">
        <v>68</v>
      </c>
      <c r="G53" t="s">
        <v>69</v>
      </c>
      <c r="H53" t="s">
        <v>67</v>
      </c>
      <c r="I53" t="s">
        <v>70</v>
      </c>
      <c r="J53" t="s">
        <v>71</v>
      </c>
      <c r="K53" t="s">
        <v>72</v>
      </c>
      <c r="L53" t="s">
        <v>68</v>
      </c>
      <c r="M53" t="s">
        <v>68</v>
      </c>
    </row>
    <row r="54" spans="1:13">
      <c r="A54">
        <v>21</v>
      </c>
      <c r="B54" t="s">
        <v>103</v>
      </c>
      <c r="C54" t="s">
        <v>100</v>
      </c>
      <c r="D54" t="s">
        <v>101</v>
      </c>
      <c r="E54" t="s">
        <v>68</v>
      </c>
      <c r="F54" t="s">
        <v>68</v>
      </c>
      <c r="G54" t="s">
        <v>69</v>
      </c>
      <c r="H54" t="s">
        <v>67</v>
      </c>
      <c r="I54" t="s">
        <v>70</v>
      </c>
      <c r="J54" t="s">
        <v>71</v>
      </c>
      <c r="K54" t="s">
        <v>72</v>
      </c>
      <c r="L54" t="s">
        <v>68</v>
      </c>
      <c r="M54" t="s">
        <v>68</v>
      </c>
    </row>
    <row r="55" spans="1:13">
      <c r="A55">
        <v>22</v>
      </c>
      <c r="B55" t="s">
        <v>104</v>
      </c>
      <c r="C55" t="s">
        <v>105</v>
      </c>
      <c r="D55" t="s">
        <v>106</v>
      </c>
      <c r="E55" t="s">
        <v>68</v>
      </c>
      <c r="F55" t="s">
        <v>68</v>
      </c>
      <c r="G55" t="s">
        <v>69</v>
      </c>
      <c r="H55" t="s">
        <v>67</v>
      </c>
      <c r="I55" t="s">
        <v>70</v>
      </c>
      <c r="J55" t="s">
        <v>71</v>
      </c>
      <c r="K55" t="s">
        <v>72</v>
      </c>
      <c r="L55" t="s">
        <v>68</v>
      </c>
      <c r="M55" t="s">
        <v>68</v>
      </c>
    </row>
    <row r="56" spans="1:13">
      <c r="A56">
        <v>23</v>
      </c>
      <c r="B56" t="s">
        <v>107</v>
      </c>
      <c r="C56" t="s">
        <v>105</v>
      </c>
      <c r="D56" t="s">
        <v>106</v>
      </c>
      <c r="E56" t="s">
        <v>68</v>
      </c>
      <c r="F56" t="s">
        <v>68</v>
      </c>
      <c r="G56" t="s">
        <v>69</v>
      </c>
      <c r="H56" t="s">
        <v>67</v>
      </c>
      <c r="I56" t="s">
        <v>70</v>
      </c>
      <c r="J56" t="s">
        <v>71</v>
      </c>
      <c r="K56" t="s">
        <v>72</v>
      </c>
      <c r="L56" t="s">
        <v>68</v>
      </c>
      <c r="M56" t="s">
        <v>68</v>
      </c>
    </row>
    <row r="57" spans="1:13">
      <c r="A57">
        <v>24</v>
      </c>
      <c r="B57" t="s">
        <v>108</v>
      </c>
      <c r="C57" t="s">
        <v>105</v>
      </c>
      <c r="D57" t="s">
        <v>106</v>
      </c>
      <c r="E57" t="s">
        <v>68</v>
      </c>
      <c r="F57" t="s">
        <v>68</v>
      </c>
      <c r="G57" t="s">
        <v>69</v>
      </c>
      <c r="H57" t="s">
        <v>67</v>
      </c>
      <c r="I57" t="s">
        <v>70</v>
      </c>
      <c r="J57" t="s">
        <v>71</v>
      </c>
      <c r="K57" t="s">
        <v>72</v>
      </c>
      <c r="L57" t="s">
        <v>68</v>
      </c>
      <c r="M57" t="s">
        <v>68</v>
      </c>
    </row>
    <row r="58" spans="1:13">
      <c r="A58">
        <v>25</v>
      </c>
      <c r="B58" t="s">
        <v>109</v>
      </c>
      <c r="C58" s="2">
        <v>1</v>
      </c>
      <c r="D58" t="s">
        <v>67</v>
      </c>
      <c r="E58" t="s">
        <v>68</v>
      </c>
      <c r="F58" t="s">
        <v>68</v>
      </c>
      <c r="G58" t="s">
        <v>110</v>
      </c>
      <c r="H58" t="s">
        <v>77</v>
      </c>
      <c r="I58" t="s">
        <v>70</v>
      </c>
      <c r="J58" t="s">
        <v>71</v>
      </c>
      <c r="K58" t="s">
        <v>72</v>
      </c>
      <c r="L58" t="s">
        <v>68</v>
      </c>
      <c r="M58" t="s">
        <v>68</v>
      </c>
    </row>
    <row r="59" spans="1:13">
      <c r="A59">
        <v>26</v>
      </c>
      <c r="B59" t="s">
        <v>111</v>
      </c>
      <c r="C59" s="2">
        <v>1</v>
      </c>
      <c r="D59" t="s">
        <v>67</v>
      </c>
      <c r="E59" t="s">
        <v>68</v>
      </c>
      <c r="F59" t="s">
        <v>68</v>
      </c>
      <c r="G59" t="s">
        <v>110</v>
      </c>
      <c r="H59" t="s">
        <v>77</v>
      </c>
      <c r="I59" t="s">
        <v>70</v>
      </c>
      <c r="J59" t="s">
        <v>71</v>
      </c>
      <c r="K59" t="s">
        <v>72</v>
      </c>
      <c r="L59" t="s">
        <v>68</v>
      </c>
      <c r="M59" t="s">
        <v>68</v>
      </c>
    </row>
    <row r="60" spans="1:13">
      <c r="A60">
        <v>27</v>
      </c>
      <c r="B60" t="s">
        <v>112</v>
      </c>
      <c r="C60" s="2">
        <v>1</v>
      </c>
      <c r="D60" t="s">
        <v>67</v>
      </c>
      <c r="E60" t="s">
        <v>68</v>
      </c>
      <c r="F60" t="s">
        <v>68</v>
      </c>
      <c r="G60" t="s">
        <v>110</v>
      </c>
      <c r="H60" t="s">
        <v>77</v>
      </c>
      <c r="I60" t="s">
        <v>70</v>
      </c>
      <c r="J60" t="s">
        <v>71</v>
      </c>
      <c r="K60" t="s">
        <v>72</v>
      </c>
      <c r="L60" t="s">
        <v>68</v>
      </c>
      <c r="M60" t="s">
        <v>68</v>
      </c>
    </row>
    <row r="61" spans="1:13">
      <c r="A61">
        <v>28</v>
      </c>
      <c r="B61" t="s">
        <v>113</v>
      </c>
      <c r="C61" t="s">
        <v>76</v>
      </c>
      <c r="D61" t="s">
        <v>77</v>
      </c>
      <c r="E61" t="s">
        <v>68</v>
      </c>
      <c r="F61" t="s">
        <v>68</v>
      </c>
      <c r="G61" t="s">
        <v>110</v>
      </c>
      <c r="H61" t="s">
        <v>77</v>
      </c>
      <c r="I61" t="s">
        <v>70</v>
      </c>
      <c r="J61" t="s">
        <v>71</v>
      </c>
      <c r="K61" t="s">
        <v>72</v>
      </c>
      <c r="L61" t="s">
        <v>68</v>
      </c>
      <c r="M61" t="s">
        <v>68</v>
      </c>
    </row>
    <row r="62" spans="1:13">
      <c r="A62">
        <v>29</v>
      </c>
      <c r="B62" t="s">
        <v>114</v>
      </c>
      <c r="C62" t="s">
        <v>76</v>
      </c>
      <c r="D62" t="s">
        <v>77</v>
      </c>
      <c r="E62" t="s">
        <v>68</v>
      </c>
      <c r="F62" t="s">
        <v>68</v>
      </c>
      <c r="G62" t="s">
        <v>110</v>
      </c>
      <c r="H62" t="s">
        <v>77</v>
      </c>
      <c r="I62" t="s">
        <v>70</v>
      </c>
      <c r="J62" t="s">
        <v>71</v>
      </c>
      <c r="K62" t="s">
        <v>72</v>
      </c>
      <c r="L62" t="s">
        <v>68</v>
      </c>
      <c r="M62" t="s">
        <v>68</v>
      </c>
    </row>
    <row r="63" spans="1:13">
      <c r="A63">
        <v>30</v>
      </c>
      <c r="B63" t="s">
        <v>115</v>
      </c>
      <c r="C63" t="s">
        <v>76</v>
      </c>
      <c r="D63" t="s">
        <v>77</v>
      </c>
      <c r="E63" t="s">
        <v>68</v>
      </c>
      <c r="F63" t="s">
        <v>68</v>
      </c>
      <c r="G63" t="s">
        <v>110</v>
      </c>
      <c r="H63" t="s">
        <v>77</v>
      </c>
      <c r="I63" t="s">
        <v>70</v>
      </c>
      <c r="J63" t="s">
        <v>71</v>
      </c>
      <c r="K63" t="s">
        <v>72</v>
      </c>
      <c r="L63" t="s">
        <v>68</v>
      </c>
      <c r="M63" t="s">
        <v>68</v>
      </c>
    </row>
    <row r="64" spans="1:13">
      <c r="A64">
        <v>31</v>
      </c>
      <c r="B64" t="s">
        <v>116</v>
      </c>
      <c r="C64" t="s">
        <v>81</v>
      </c>
      <c r="D64" t="s">
        <v>82</v>
      </c>
      <c r="E64" t="s">
        <v>68</v>
      </c>
      <c r="F64" t="s">
        <v>68</v>
      </c>
      <c r="G64" t="s">
        <v>110</v>
      </c>
      <c r="H64" t="s">
        <v>77</v>
      </c>
      <c r="I64" t="s">
        <v>70</v>
      </c>
      <c r="J64" t="s">
        <v>71</v>
      </c>
      <c r="K64" t="s">
        <v>72</v>
      </c>
      <c r="L64" t="s">
        <v>68</v>
      </c>
      <c r="M64" t="s">
        <v>68</v>
      </c>
    </row>
    <row r="65" spans="1:13">
      <c r="A65">
        <v>32</v>
      </c>
      <c r="B65" t="s">
        <v>117</v>
      </c>
      <c r="C65" t="s">
        <v>81</v>
      </c>
      <c r="D65" t="s">
        <v>82</v>
      </c>
      <c r="E65" t="s">
        <v>68</v>
      </c>
      <c r="F65" t="s">
        <v>68</v>
      </c>
      <c r="G65" t="s">
        <v>110</v>
      </c>
      <c r="H65" t="s">
        <v>77</v>
      </c>
      <c r="I65" t="s">
        <v>70</v>
      </c>
      <c r="J65" t="s">
        <v>71</v>
      </c>
      <c r="K65" t="s">
        <v>72</v>
      </c>
      <c r="L65" t="s">
        <v>68</v>
      </c>
      <c r="M65" t="s">
        <v>68</v>
      </c>
    </row>
    <row r="66" spans="1:13">
      <c r="A66">
        <v>33</v>
      </c>
      <c r="B66" t="s">
        <v>118</v>
      </c>
      <c r="C66" t="s">
        <v>81</v>
      </c>
      <c r="D66" t="s">
        <v>82</v>
      </c>
      <c r="E66" t="s">
        <v>68</v>
      </c>
      <c r="F66" t="s">
        <v>68</v>
      </c>
      <c r="G66" t="s">
        <v>110</v>
      </c>
      <c r="H66" t="s">
        <v>77</v>
      </c>
      <c r="I66" t="s">
        <v>70</v>
      </c>
      <c r="J66" t="s">
        <v>71</v>
      </c>
      <c r="K66" t="s">
        <v>72</v>
      </c>
      <c r="L66" t="s">
        <v>68</v>
      </c>
      <c r="M66" t="s">
        <v>68</v>
      </c>
    </row>
    <row r="67" spans="1:13">
      <c r="A67">
        <v>34</v>
      </c>
      <c r="B67" t="s">
        <v>119</v>
      </c>
      <c r="C67" t="s">
        <v>86</v>
      </c>
      <c r="D67" t="s">
        <v>87</v>
      </c>
      <c r="E67" t="s">
        <v>68</v>
      </c>
      <c r="F67" t="s">
        <v>68</v>
      </c>
      <c r="G67" t="s">
        <v>110</v>
      </c>
      <c r="H67" t="s">
        <v>77</v>
      </c>
      <c r="I67" t="s">
        <v>70</v>
      </c>
      <c r="J67" t="s">
        <v>71</v>
      </c>
      <c r="K67" t="s">
        <v>72</v>
      </c>
      <c r="L67" t="s">
        <v>68</v>
      </c>
      <c r="M67" t="s">
        <v>68</v>
      </c>
    </row>
    <row r="68" spans="1:13">
      <c r="A68">
        <v>35</v>
      </c>
      <c r="B68" t="s">
        <v>120</v>
      </c>
      <c r="C68" t="s">
        <v>86</v>
      </c>
      <c r="D68" t="s">
        <v>87</v>
      </c>
      <c r="E68" t="s">
        <v>68</v>
      </c>
      <c r="F68" t="s">
        <v>68</v>
      </c>
      <c r="G68" t="s">
        <v>110</v>
      </c>
      <c r="H68" t="s">
        <v>77</v>
      </c>
      <c r="I68" t="s">
        <v>70</v>
      </c>
      <c r="J68" t="s">
        <v>71</v>
      </c>
      <c r="K68" t="s">
        <v>72</v>
      </c>
      <c r="L68" t="s">
        <v>68</v>
      </c>
      <c r="M68" t="s">
        <v>68</v>
      </c>
    </row>
    <row r="69" spans="1:13">
      <c r="A69">
        <v>36</v>
      </c>
      <c r="B69" t="s">
        <v>121</v>
      </c>
      <c r="C69" t="s">
        <v>86</v>
      </c>
      <c r="D69" t="s">
        <v>87</v>
      </c>
      <c r="E69" t="s">
        <v>68</v>
      </c>
      <c r="F69" t="s">
        <v>68</v>
      </c>
      <c r="G69" t="s">
        <v>110</v>
      </c>
      <c r="H69" t="s">
        <v>77</v>
      </c>
      <c r="I69" t="s">
        <v>70</v>
      </c>
      <c r="J69" t="s">
        <v>71</v>
      </c>
      <c r="K69" t="s">
        <v>72</v>
      </c>
      <c r="L69" t="s">
        <v>68</v>
      </c>
      <c r="M69" t="s">
        <v>68</v>
      </c>
    </row>
    <row r="70" spans="1:13">
      <c r="A70">
        <v>37</v>
      </c>
      <c r="B70" t="s">
        <v>122</v>
      </c>
      <c r="C70" s="2">
        <v>2</v>
      </c>
      <c r="D70" t="s">
        <v>91</v>
      </c>
      <c r="E70" t="s">
        <v>68</v>
      </c>
      <c r="F70" t="s">
        <v>68</v>
      </c>
      <c r="G70" t="s">
        <v>110</v>
      </c>
      <c r="H70" t="s">
        <v>77</v>
      </c>
      <c r="I70" t="s">
        <v>70</v>
      </c>
      <c r="J70" t="s">
        <v>71</v>
      </c>
      <c r="K70" t="s">
        <v>72</v>
      </c>
      <c r="L70" t="s">
        <v>68</v>
      </c>
      <c r="M70" t="s">
        <v>68</v>
      </c>
    </row>
    <row r="71" spans="1:13">
      <c r="A71">
        <v>38</v>
      </c>
      <c r="B71" t="s">
        <v>123</v>
      </c>
      <c r="C71" s="2">
        <v>2</v>
      </c>
      <c r="D71" t="s">
        <v>91</v>
      </c>
      <c r="E71" t="s">
        <v>68</v>
      </c>
      <c r="F71" t="s">
        <v>68</v>
      </c>
      <c r="G71" t="s">
        <v>110</v>
      </c>
      <c r="H71" t="s">
        <v>77</v>
      </c>
      <c r="I71" t="s">
        <v>70</v>
      </c>
      <c r="J71" t="s">
        <v>71</v>
      </c>
      <c r="K71" t="s">
        <v>72</v>
      </c>
      <c r="L71" t="s">
        <v>68</v>
      </c>
      <c r="M71" t="s">
        <v>68</v>
      </c>
    </row>
    <row r="72" spans="1:13">
      <c r="A72">
        <v>39</v>
      </c>
      <c r="B72" t="s">
        <v>124</v>
      </c>
      <c r="C72" s="2">
        <v>2</v>
      </c>
      <c r="D72" t="s">
        <v>91</v>
      </c>
      <c r="E72" t="s">
        <v>68</v>
      </c>
      <c r="F72" t="s">
        <v>68</v>
      </c>
      <c r="G72" t="s">
        <v>110</v>
      </c>
      <c r="H72" t="s">
        <v>77</v>
      </c>
      <c r="I72" t="s">
        <v>70</v>
      </c>
      <c r="J72" t="s">
        <v>71</v>
      </c>
      <c r="K72" t="s">
        <v>72</v>
      </c>
      <c r="L72" t="s">
        <v>68</v>
      </c>
      <c r="M72" t="s">
        <v>68</v>
      </c>
    </row>
    <row r="73" spans="1:13">
      <c r="A73">
        <v>40</v>
      </c>
      <c r="B73" t="s">
        <v>125</v>
      </c>
      <c r="C73" t="s">
        <v>95</v>
      </c>
      <c r="D73" t="s">
        <v>96</v>
      </c>
      <c r="E73" t="s">
        <v>68</v>
      </c>
      <c r="F73" t="s">
        <v>68</v>
      </c>
      <c r="G73" t="s">
        <v>110</v>
      </c>
      <c r="H73" t="s">
        <v>77</v>
      </c>
      <c r="I73" t="s">
        <v>70</v>
      </c>
      <c r="J73" t="s">
        <v>71</v>
      </c>
      <c r="K73" t="s">
        <v>72</v>
      </c>
      <c r="L73" t="s">
        <v>68</v>
      </c>
      <c r="M73" t="s">
        <v>68</v>
      </c>
    </row>
    <row r="74" spans="1:13">
      <c r="A74">
        <v>41</v>
      </c>
      <c r="B74" t="s">
        <v>126</v>
      </c>
      <c r="C74" t="s">
        <v>95</v>
      </c>
      <c r="D74" t="s">
        <v>96</v>
      </c>
      <c r="E74" t="s">
        <v>68</v>
      </c>
      <c r="F74" t="s">
        <v>68</v>
      </c>
      <c r="G74" t="s">
        <v>110</v>
      </c>
      <c r="H74" t="s">
        <v>77</v>
      </c>
      <c r="I74" t="s">
        <v>70</v>
      </c>
      <c r="J74" t="s">
        <v>71</v>
      </c>
      <c r="K74" t="s">
        <v>72</v>
      </c>
      <c r="L74" t="s">
        <v>68</v>
      </c>
      <c r="M74" t="s">
        <v>68</v>
      </c>
    </row>
    <row r="75" spans="1:13">
      <c r="A75">
        <v>42</v>
      </c>
      <c r="B75" t="s">
        <v>127</v>
      </c>
      <c r="C75" t="s">
        <v>95</v>
      </c>
      <c r="D75" t="s">
        <v>96</v>
      </c>
      <c r="E75" t="s">
        <v>68</v>
      </c>
      <c r="F75" t="s">
        <v>68</v>
      </c>
      <c r="G75" t="s">
        <v>110</v>
      </c>
      <c r="H75" t="s">
        <v>77</v>
      </c>
      <c r="I75" t="s">
        <v>70</v>
      </c>
      <c r="J75" t="s">
        <v>71</v>
      </c>
      <c r="K75" t="s">
        <v>72</v>
      </c>
      <c r="L75" t="s">
        <v>68</v>
      </c>
      <c r="M75" t="s">
        <v>68</v>
      </c>
    </row>
    <row r="76" spans="1:13">
      <c r="A76">
        <v>43</v>
      </c>
      <c r="B76" t="s">
        <v>128</v>
      </c>
      <c r="C76" t="s">
        <v>100</v>
      </c>
      <c r="D76" t="s">
        <v>101</v>
      </c>
      <c r="E76" t="s">
        <v>68</v>
      </c>
      <c r="F76" t="s">
        <v>68</v>
      </c>
      <c r="G76" t="s">
        <v>110</v>
      </c>
      <c r="H76" t="s">
        <v>77</v>
      </c>
      <c r="I76" t="s">
        <v>70</v>
      </c>
      <c r="J76" t="s">
        <v>71</v>
      </c>
      <c r="K76" t="s">
        <v>72</v>
      </c>
      <c r="L76" t="s">
        <v>68</v>
      </c>
      <c r="M76" t="s">
        <v>68</v>
      </c>
    </row>
    <row r="77" spans="1:13">
      <c r="A77">
        <v>44</v>
      </c>
      <c r="B77" t="s">
        <v>129</v>
      </c>
      <c r="C77" t="s">
        <v>100</v>
      </c>
      <c r="D77" t="s">
        <v>101</v>
      </c>
      <c r="E77" t="s">
        <v>68</v>
      </c>
      <c r="F77" t="s">
        <v>68</v>
      </c>
      <c r="G77" t="s">
        <v>110</v>
      </c>
      <c r="H77" t="s">
        <v>77</v>
      </c>
      <c r="I77" t="s">
        <v>70</v>
      </c>
      <c r="J77" t="s">
        <v>71</v>
      </c>
      <c r="K77" t="s">
        <v>72</v>
      </c>
      <c r="L77" t="s">
        <v>68</v>
      </c>
      <c r="M77" t="s">
        <v>68</v>
      </c>
    </row>
    <row r="78" spans="1:13">
      <c r="A78">
        <v>45</v>
      </c>
      <c r="B78" t="s">
        <v>130</v>
      </c>
      <c r="C78" t="s">
        <v>100</v>
      </c>
      <c r="D78" t="s">
        <v>101</v>
      </c>
      <c r="E78" t="s">
        <v>68</v>
      </c>
      <c r="F78" t="s">
        <v>68</v>
      </c>
      <c r="G78" t="s">
        <v>110</v>
      </c>
      <c r="H78" t="s">
        <v>77</v>
      </c>
      <c r="I78" t="s">
        <v>70</v>
      </c>
      <c r="J78" t="s">
        <v>71</v>
      </c>
      <c r="K78" t="s">
        <v>72</v>
      </c>
      <c r="L78" t="s">
        <v>68</v>
      </c>
      <c r="M78" t="s">
        <v>68</v>
      </c>
    </row>
    <row r="79" spans="1:13">
      <c r="A79">
        <v>46</v>
      </c>
      <c r="B79" t="s">
        <v>131</v>
      </c>
      <c r="C79" t="s">
        <v>105</v>
      </c>
      <c r="D79" t="s">
        <v>106</v>
      </c>
      <c r="E79" t="s">
        <v>68</v>
      </c>
      <c r="F79" t="s">
        <v>68</v>
      </c>
      <c r="G79" t="s">
        <v>110</v>
      </c>
      <c r="H79" t="s">
        <v>77</v>
      </c>
      <c r="I79" t="s">
        <v>70</v>
      </c>
      <c r="J79" t="s">
        <v>71</v>
      </c>
      <c r="K79" t="s">
        <v>72</v>
      </c>
      <c r="L79" t="s">
        <v>68</v>
      </c>
      <c r="M79" t="s">
        <v>68</v>
      </c>
    </row>
    <row r="80" spans="1:13">
      <c r="A80">
        <v>47</v>
      </c>
      <c r="B80" t="s">
        <v>132</v>
      </c>
      <c r="C80" t="s">
        <v>105</v>
      </c>
      <c r="D80" t="s">
        <v>106</v>
      </c>
      <c r="E80" t="s">
        <v>68</v>
      </c>
      <c r="F80" t="s">
        <v>68</v>
      </c>
      <c r="G80" t="s">
        <v>110</v>
      </c>
      <c r="H80" t="s">
        <v>77</v>
      </c>
      <c r="I80" t="s">
        <v>70</v>
      </c>
      <c r="J80" t="s">
        <v>71</v>
      </c>
      <c r="K80" t="s">
        <v>72</v>
      </c>
      <c r="L80" t="s">
        <v>68</v>
      </c>
      <c r="M80" t="s">
        <v>68</v>
      </c>
    </row>
    <row r="81" spans="1:13">
      <c r="A81">
        <v>48</v>
      </c>
      <c r="B81" t="s">
        <v>133</v>
      </c>
      <c r="C81" t="s">
        <v>105</v>
      </c>
      <c r="D81" t="s">
        <v>106</v>
      </c>
      <c r="E81" t="s">
        <v>68</v>
      </c>
      <c r="F81" t="s">
        <v>68</v>
      </c>
      <c r="G81" t="s">
        <v>110</v>
      </c>
      <c r="H81" t="s">
        <v>77</v>
      </c>
      <c r="I81" t="s">
        <v>70</v>
      </c>
      <c r="J81" t="s">
        <v>71</v>
      </c>
      <c r="K81" t="s">
        <v>72</v>
      </c>
      <c r="L81" t="s">
        <v>68</v>
      </c>
      <c r="M81" t="s">
        <v>68</v>
      </c>
    </row>
    <row r="82" spans="1:13">
      <c r="A82">
        <v>49</v>
      </c>
      <c r="B82" t="s">
        <v>134</v>
      </c>
      <c r="C82" s="2">
        <v>1</v>
      </c>
      <c r="D82" t="s">
        <v>67</v>
      </c>
      <c r="E82" t="s">
        <v>68</v>
      </c>
      <c r="F82" t="s">
        <v>68</v>
      </c>
      <c r="G82" t="s">
        <v>135</v>
      </c>
      <c r="H82" t="s">
        <v>82</v>
      </c>
      <c r="I82" t="s">
        <v>70</v>
      </c>
      <c r="J82" t="s">
        <v>71</v>
      </c>
      <c r="K82" t="s">
        <v>72</v>
      </c>
      <c r="L82" t="s">
        <v>68</v>
      </c>
      <c r="M82" t="s">
        <v>68</v>
      </c>
    </row>
    <row r="83" spans="1:13">
      <c r="A83">
        <v>50</v>
      </c>
      <c r="B83" t="s">
        <v>136</v>
      </c>
      <c r="C83" s="2">
        <v>1</v>
      </c>
      <c r="D83" t="s">
        <v>67</v>
      </c>
      <c r="E83" t="s">
        <v>68</v>
      </c>
      <c r="F83" t="s">
        <v>68</v>
      </c>
      <c r="G83" t="s">
        <v>135</v>
      </c>
      <c r="H83" t="s">
        <v>82</v>
      </c>
      <c r="I83" t="s">
        <v>70</v>
      </c>
      <c r="J83" t="s">
        <v>71</v>
      </c>
      <c r="K83" t="s">
        <v>72</v>
      </c>
      <c r="L83" t="s">
        <v>68</v>
      </c>
      <c r="M83" t="s">
        <v>68</v>
      </c>
    </row>
    <row r="84" spans="1:13">
      <c r="A84">
        <v>51</v>
      </c>
      <c r="B84" t="s">
        <v>137</v>
      </c>
      <c r="C84" s="2">
        <v>1</v>
      </c>
      <c r="D84" t="s">
        <v>67</v>
      </c>
      <c r="E84" t="s">
        <v>68</v>
      </c>
      <c r="F84" t="s">
        <v>68</v>
      </c>
      <c r="G84" t="s">
        <v>135</v>
      </c>
      <c r="H84" t="s">
        <v>82</v>
      </c>
      <c r="I84" t="s">
        <v>70</v>
      </c>
      <c r="J84" t="s">
        <v>71</v>
      </c>
      <c r="K84" t="s">
        <v>72</v>
      </c>
      <c r="L84" t="s">
        <v>68</v>
      </c>
      <c r="M84" t="s">
        <v>68</v>
      </c>
    </row>
    <row r="85" spans="1:13">
      <c r="A85">
        <v>52</v>
      </c>
      <c r="B85" t="s">
        <v>138</v>
      </c>
      <c r="C85" t="s">
        <v>76</v>
      </c>
      <c r="D85" t="s">
        <v>77</v>
      </c>
      <c r="E85" t="s">
        <v>68</v>
      </c>
      <c r="F85" t="s">
        <v>68</v>
      </c>
      <c r="G85" t="s">
        <v>135</v>
      </c>
      <c r="H85" t="s">
        <v>82</v>
      </c>
      <c r="I85" t="s">
        <v>70</v>
      </c>
      <c r="J85" t="s">
        <v>71</v>
      </c>
      <c r="K85" t="s">
        <v>72</v>
      </c>
      <c r="L85" t="s">
        <v>68</v>
      </c>
      <c r="M85" t="s">
        <v>68</v>
      </c>
    </row>
    <row r="86" spans="1:13">
      <c r="A86">
        <v>53</v>
      </c>
      <c r="B86" t="s">
        <v>139</v>
      </c>
      <c r="C86" t="s">
        <v>76</v>
      </c>
      <c r="D86" t="s">
        <v>77</v>
      </c>
      <c r="E86" t="s">
        <v>68</v>
      </c>
      <c r="F86" t="s">
        <v>68</v>
      </c>
      <c r="G86" t="s">
        <v>135</v>
      </c>
      <c r="H86" t="s">
        <v>82</v>
      </c>
      <c r="I86" t="s">
        <v>70</v>
      </c>
      <c r="J86" t="s">
        <v>71</v>
      </c>
      <c r="K86" t="s">
        <v>72</v>
      </c>
      <c r="L86" t="s">
        <v>68</v>
      </c>
      <c r="M86" t="s">
        <v>68</v>
      </c>
    </row>
    <row r="87" spans="1:13">
      <c r="A87">
        <v>54</v>
      </c>
      <c r="B87" t="s">
        <v>140</v>
      </c>
      <c r="C87" t="s">
        <v>76</v>
      </c>
      <c r="D87" t="s">
        <v>77</v>
      </c>
      <c r="E87" t="s">
        <v>68</v>
      </c>
      <c r="F87" t="s">
        <v>68</v>
      </c>
      <c r="G87" t="s">
        <v>135</v>
      </c>
      <c r="H87" t="s">
        <v>82</v>
      </c>
      <c r="I87" t="s">
        <v>70</v>
      </c>
      <c r="J87" t="s">
        <v>71</v>
      </c>
      <c r="K87" t="s">
        <v>72</v>
      </c>
      <c r="L87" t="s">
        <v>68</v>
      </c>
      <c r="M87" t="s">
        <v>68</v>
      </c>
    </row>
    <row r="88" spans="1:13">
      <c r="A88">
        <v>55</v>
      </c>
      <c r="B88" t="s">
        <v>141</v>
      </c>
      <c r="C88" t="s">
        <v>81</v>
      </c>
      <c r="D88" t="s">
        <v>82</v>
      </c>
      <c r="E88" t="s">
        <v>68</v>
      </c>
      <c r="F88" t="s">
        <v>68</v>
      </c>
      <c r="G88" t="s">
        <v>135</v>
      </c>
      <c r="H88" t="s">
        <v>82</v>
      </c>
      <c r="I88" t="s">
        <v>70</v>
      </c>
      <c r="J88" t="s">
        <v>71</v>
      </c>
      <c r="K88" t="s">
        <v>72</v>
      </c>
      <c r="L88" t="s">
        <v>68</v>
      </c>
      <c r="M88" t="s">
        <v>68</v>
      </c>
    </row>
    <row r="89" spans="1:13">
      <c r="A89">
        <v>56</v>
      </c>
      <c r="B89" t="s">
        <v>142</v>
      </c>
      <c r="C89" t="s">
        <v>81</v>
      </c>
      <c r="D89" t="s">
        <v>82</v>
      </c>
      <c r="E89" t="s">
        <v>68</v>
      </c>
      <c r="F89" t="s">
        <v>68</v>
      </c>
      <c r="G89" t="s">
        <v>135</v>
      </c>
      <c r="H89" t="s">
        <v>82</v>
      </c>
      <c r="I89" t="s">
        <v>70</v>
      </c>
      <c r="J89" t="s">
        <v>71</v>
      </c>
      <c r="K89" t="s">
        <v>72</v>
      </c>
      <c r="L89" t="s">
        <v>68</v>
      </c>
      <c r="M89" t="s">
        <v>68</v>
      </c>
    </row>
    <row r="90" spans="1:13">
      <c r="A90">
        <v>57</v>
      </c>
      <c r="B90" t="s">
        <v>143</v>
      </c>
      <c r="C90" t="s">
        <v>81</v>
      </c>
      <c r="D90" t="s">
        <v>82</v>
      </c>
      <c r="E90" t="s">
        <v>68</v>
      </c>
      <c r="F90" t="s">
        <v>68</v>
      </c>
      <c r="G90" t="s">
        <v>135</v>
      </c>
      <c r="H90" t="s">
        <v>82</v>
      </c>
      <c r="I90" t="s">
        <v>70</v>
      </c>
      <c r="J90" t="s">
        <v>71</v>
      </c>
      <c r="K90" t="s">
        <v>72</v>
      </c>
      <c r="L90" t="s">
        <v>68</v>
      </c>
      <c r="M90" t="s">
        <v>68</v>
      </c>
    </row>
    <row r="91" spans="1:13">
      <c r="A91">
        <v>58</v>
      </c>
      <c r="B91" t="s">
        <v>144</v>
      </c>
      <c r="C91" t="s">
        <v>86</v>
      </c>
      <c r="D91" t="s">
        <v>87</v>
      </c>
      <c r="E91" t="s">
        <v>68</v>
      </c>
      <c r="F91" t="s">
        <v>68</v>
      </c>
      <c r="G91" t="s">
        <v>135</v>
      </c>
      <c r="H91" t="s">
        <v>82</v>
      </c>
      <c r="I91" t="s">
        <v>70</v>
      </c>
      <c r="J91" t="s">
        <v>71</v>
      </c>
      <c r="K91" t="s">
        <v>72</v>
      </c>
      <c r="L91" t="s">
        <v>68</v>
      </c>
      <c r="M91" t="s">
        <v>68</v>
      </c>
    </row>
    <row r="92" spans="1:13">
      <c r="A92">
        <v>59</v>
      </c>
      <c r="B92" t="s">
        <v>145</v>
      </c>
      <c r="C92" t="s">
        <v>86</v>
      </c>
      <c r="D92" t="s">
        <v>87</v>
      </c>
      <c r="E92" t="s">
        <v>68</v>
      </c>
      <c r="F92" t="s">
        <v>68</v>
      </c>
      <c r="G92" t="s">
        <v>135</v>
      </c>
      <c r="H92" t="s">
        <v>82</v>
      </c>
      <c r="I92" t="s">
        <v>70</v>
      </c>
      <c r="J92" t="s">
        <v>71</v>
      </c>
      <c r="K92" t="s">
        <v>72</v>
      </c>
      <c r="L92" t="s">
        <v>68</v>
      </c>
      <c r="M92" t="s">
        <v>68</v>
      </c>
    </row>
    <row r="93" spans="1:13">
      <c r="A93">
        <v>60</v>
      </c>
      <c r="B93" t="s">
        <v>146</v>
      </c>
      <c r="C93" t="s">
        <v>86</v>
      </c>
      <c r="D93" t="s">
        <v>87</v>
      </c>
      <c r="E93" t="s">
        <v>68</v>
      </c>
      <c r="F93" t="s">
        <v>68</v>
      </c>
      <c r="G93" t="s">
        <v>135</v>
      </c>
      <c r="H93" t="s">
        <v>82</v>
      </c>
      <c r="I93" t="s">
        <v>70</v>
      </c>
      <c r="J93" t="s">
        <v>71</v>
      </c>
      <c r="K93" t="s">
        <v>72</v>
      </c>
      <c r="L93" t="s">
        <v>68</v>
      </c>
      <c r="M93" t="s">
        <v>68</v>
      </c>
    </row>
    <row r="94" spans="1:13">
      <c r="A94">
        <v>61</v>
      </c>
      <c r="B94" t="s">
        <v>147</v>
      </c>
      <c r="C94" s="2">
        <v>2</v>
      </c>
      <c r="D94" t="s">
        <v>91</v>
      </c>
      <c r="E94" t="s">
        <v>68</v>
      </c>
      <c r="F94" t="s">
        <v>68</v>
      </c>
      <c r="G94" t="s">
        <v>135</v>
      </c>
      <c r="H94" t="s">
        <v>82</v>
      </c>
      <c r="I94" t="s">
        <v>70</v>
      </c>
      <c r="J94" t="s">
        <v>71</v>
      </c>
      <c r="K94" t="s">
        <v>72</v>
      </c>
      <c r="L94" t="s">
        <v>68</v>
      </c>
      <c r="M94" t="s">
        <v>68</v>
      </c>
    </row>
    <row r="95" spans="1:13">
      <c r="A95">
        <v>62</v>
      </c>
      <c r="B95" t="s">
        <v>148</v>
      </c>
      <c r="C95" s="2">
        <v>2</v>
      </c>
      <c r="D95" t="s">
        <v>91</v>
      </c>
      <c r="E95" t="s">
        <v>68</v>
      </c>
      <c r="F95" t="s">
        <v>68</v>
      </c>
      <c r="G95" t="s">
        <v>135</v>
      </c>
      <c r="H95" t="s">
        <v>82</v>
      </c>
      <c r="I95" t="s">
        <v>70</v>
      </c>
      <c r="J95" t="s">
        <v>71</v>
      </c>
      <c r="K95" t="s">
        <v>72</v>
      </c>
      <c r="L95" t="s">
        <v>68</v>
      </c>
      <c r="M95" t="s">
        <v>68</v>
      </c>
    </row>
    <row r="96" spans="1:13">
      <c r="A96">
        <v>63</v>
      </c>
      <c r="B96" t="s">
        <v>149</v>
      </c>
      <c r="C96" s="2">
        <v>2</v>
      </c>
      <c r="D96" t="s">
        <v>91</v>
      </c>
      <c r="E96" t="s">
        <v>68</v>
      </c>
      <c r="F96" t="s">
        <v>68</v>
      </c>
      <c r="G96" t="s">
        <v>135</v>
      </c>
      <c r="H96" t="s">
        <v>82</v>
      </c>
      <c r="I96" t="s">
        <v>70</v>
      </c>
      <c r="J96" t="s">
        <v>71</v>
      </c>
      <c r="K96" t="s">
        <v>72</v>
      </c>
      <c r="L96" t="s">
        <v>68</v>
      </c>
      <c r="M96" t="s">
        <v>68</v>
      </c>
    </row>
    <row r="97" spans="1:13">
      <c r="A97">
        <v>64</v>
      </c>
      <c r="B97" t="s">
        <v>150</v>
      </c>
      <c r="C97" t="s">
        <v>95</v>
      </c>
      <c r="D97" t="s">
        <v>96</v>
      </c>
      <c r="E97" t="s">
        <v>68</v>
      </c>
      <c r="F97" t="s">
        <v>68</v>
      </c>
      <c r="G97" t="s">
        <v>135</v>
      </c>
      <c r="H97" t="s">
        <v>82</v>
      </c>
      <c r="I97" t="s">
        <v>70</v>
      </c>
      <c r="J97" t="s">
        <v>71</v>
      </c>
      <c r="K97" t="s">
        <v>72</v>
      </c>
      <c r="L97" t="s">
        <v>68</v>
      </c>
      <c r="M97" t="s">
        <v>68</v>
      </c>
    </row>
    <row r="98" spans="1:13">
      <c r="A98">
        <v>65</v>
      </c>
      <c r="B98" t="s">
        <v>151</v>
      </c>
      <c r="C98" t="s">
        <v>95</v>
      </c>
      <c r="D98" t="s">
        <v>96</v>
      </c>
      <c r="E98" t="s">
        <v>68</v>
      </c>
      <c r="F98" t="s">
        <v>68</v>
      </c>
      <c r="G98" t="s">
        <v>135</v>
      </c>
      <c r="H98" t="s">
        <v>82</v>
      </c>
      <c r="I98" t="s">
        <v>70</v>
      </c>
      <c r="J98" t="s">
        <v>71</v>
      </c>
      <c r="K98" t="s">
        <v>72</v>
      </c>
      <c r="L98" t="s">
        <v>68</v>
      </c>
      <c r="M98" t="s">
        <v>68</v>
      </c>
    </row>
    <row r="99" spans="1:13">
      <c r="A99">
        <v>66</v>
      </c>
      <c r="B99" t="s">
        <v>152</v>
      </c>
      <c r="C99" t="s">
        <v>95</v>
      </c>
      <c r="D99" t="s">
        <v>96</v>
      </c>
      <c r="E99" t="s">
        <v>68</v>
      </c>
      <c r="F99" t="s">
        <v>68</v>
      </c>
      <c r="G99" t="s">
        <v>135</v>
      </c>
      <c r="H99" t="s">
        <v>82</v>
      </c>
      <c r="I99" t="s">
        <v>70</v>
      </c>
      <c r="J99" t="s">
        <v>71</v>
      </c>
      <c r="K99" t="s">
        <v>72</v>
      </c>
      <c r="L99" t="s">
        <v>68</v>
      </c>
      <c r="M99" t="s">
        <v>68</v>
      </c>
    </row>
    <row r="100" spans="1:13">
      <c r="A100">
        <v>67</v>
      </c>
      <c r="B100" t="s">
        <v>153</v>
      </c>
      <c r="C100" t="s">
        <v>100</v>
      </c>
      <c r="D100" t="s">
        <v>101</v>
      </c>
      <c r="E100" t="s">
        <v>68</v>
      </c>
      <c r="F100" t="s">
        <v>68</v>
      </c>
      <c r="G100" t="s">
        <v>135</v>
      </c>
      <c r="H100" t="s">
        <v>82</v>
      </c>
      <c r="I100" t="s">
        <v>70</v>
      </c>
      <c r="J100" t="s">
        <v>71</v>
      </c>
      <c r="K100" t="s">
        <v>72</v>
      </c>
      <c r="L100" t="s">
        <v>68</v>
      </c>
      <c r="M100" t="s">
        <v>68</v>
      </c>
    </row>
    <row r="101" spans="1:13">
      <c r="A101">
        <v>68</v>
      </c>
      <c r="B101" t="s">
        <v>154</v>
      </c>
      <c r="C101" t="s">
        <v>100</v>
      </c>
      <c r="D101" t="s">
        <v>101</v>
      </c>
      <c r="E101" t="s">
        <v>68</v>
      </c>
      <c r="F101" t="s">
        <v>68</v>
      </c>
      <c r="G101" t="s">
        <v>135</v>
      </c>
      <c r="H101" t="s">
        <v>82</v>
      </c>
      <c r="I101" t="s">
        <v>70</v>
      </c>
      <c r="J101" t="s">
        <v>71</v>
      </c>
      <c r="K101" t="s">
        <v>72</v>
      </c>
      <c r="L101" t="s">
        <v>68</v>
      </c>
      <c r="M101" t="s">
        <v>68</v>
      </c>
    </row>
    <row r="102" spans="1:13">
      <c r="A102">
        <v>69</v>
      </c>
      <c r="B102" t="s">
        <v>155</v>
      </c>
      <c r="C102" t="s">
        <v>100</v>
      </c>
      <c r="D102" t="s">
        <v>101</v>
      </c>
      <c r="E102" t="s">
        <v>68</v>
      </c>
      <c r="F102" t="s">
        <v>68</v>
      </c>
      <c r="G102" t="s">
        <v>135</v>
      </c>
      <c r="H102" t="s">
        <v>82</v>
      </c>
      <c r="I102" t="s">
        <v>70</v>
      </c>
      <c r="J102" t="s">
        <v>71</v>
      </c>
      <c r="K102" t="s">
        <v>72</v>
      </c>
      <c r="L102" t="s">
        <v>68</v>
      </c>
      <c r="M102" t="s">
        <v>68</v>
      </c>
    </row>
    <row r="103" spans="1:13">
      <c r="A103">
        <v>70</v>
      </c>
      <c r="B103" t="s">
        <v>156</v>
      </c>
      <c r="C103" t="s">
        <v>105</v>
      </c>
      <c r="D103" t="s">
        <v>106</v>
      </c>
      <c r="E103" t="s">
        <v>68</v>
      </c>
      <c r="F103" t="s">
        <v>68</v>
      </c>
      <c r="G103" t="s">
        <v>135</v>
      </c>
      <c r="H103" t="s">
        <v>82</v>
      </c>
      <c r="I103" t="s">
        <v>70</v>
      </c>
      <c r="J103" t="s">
        <v>71</v>
      </c>
      <c r="K103" t="s">
        <v>72</v>
      </c>
      <c r="L103" t="s">
        <v>68</v>
      </c>
      <c r="M103" t="s">
        <v>68</v>
      </c>
    </row>
    <row r="104" spans="1:13">
      <c r="A104">
        <v>71</v>
      </c>
      <c r="B104" t="s">
        <v>157</v>
      </c>
      <c r="C104" t="s">
        <v>105</v>
      </c>
      <c r="D104" t="s">
        <v>106</v>
      </c>
      <c r="E104" t="s">
        <v>68</v>
      </c>
      <c r="F104" t="s">
        <v>68</v>
      </c>
      <c r="G104" t="s">
        <v>135</v>
      </c>
      <c r="H104" t="s">
        <v>82</v>
      </c>
      <c r="I104" t="s">
        <v>70</v>
      </c>
      <c r="J104" t="s">
        <v>71</v>
      </c>
      <c r="K104" t="s">
        <v>72</v>
      </c>
      <c r="L104" t="s">
        <v>68</v>
      </c>
      <c r="M104" t="s">
        <v>68</v>
      </c>
    </row>
    <row r="105" spans="1:13">
      <c r="A105">
        <v>72</v>
      </c>
      <c r="B105" t="s">
        <v>158</v>
      </c>
      <c r="C105" t="s">
        <v>105</v>
      </c>
      <c r="D105" t="s">
        <v>106</v>
      </c>
      <c r="E105" t="s">
        <v>68</v>
      </c>
      <c r="F105" t="s">
        <v>68</v>
      </c>
      <c r="G105" t="s">
        <v>135</v>
      </c>
      <c r="H105" t="s">
        <v>82</v>
      </c>
      <c r="I105" t="s">
        <v>70</v>
      </c>
      <c r="J105" t="s">
        <v>71</v>
      </c>
      <c r="K105" t="s">
        <v>72</v>
      </c>
      <c r="L105" t="s">
        <v>68</v>
      </c>
      <c r="M105" t="s">
        <v>68</v>
      </c>
    </row>
    <row r="106" spans="1:13">
      <c r="A106">
        <v>73</v>
      </c>
      <c r="B106" t="s">
        <v>159</v>
      </c>
      <c r="C106" s="2">
        <v>1</v>
      </c>
      <c r="D106" t="s">
        <v>67</v>
      </c>
      <c r="E106" t="s">
        <v>68</v>
      </c>
      <c r="F106" t="s">
        <v>68</v>
      </c>
      <c r="G106" t="s">
        <v>160</v>
      </c>
      <c r="H106" t="s">
        <v>87</v>
      </c>
      <c r="I106" t="s">
        <v>70</v>
      </c>
      <c r="J106" t="s">
        <v>71</v>
      </c>
      <c r="K106" t="s">
        <v>72</v>
      </c>
      <c r="L106" t="s">
        <v>68</v>
      </c>
      <c r="M106" t="s">
        <v>68</v>
      </c>
    </row>
    <row r="107" spans="1:13">
      <c r="A107">
        <v>74</v>
      </c>
      <c r="B107" t="s">
        <v>161</v>
      </c>
      <c r="C107" s="2">
        <v>1</v>
      </c>
      <c r="D107" t="s">
        <v>67</v>
      </c>
      <c r="E107" t="s">
        <v>68</v>
      </c>
      <c r="F107" t="s">
        <v>68</v>
      </c>
      <c r="G107" t="s">
        <v>160</v>
      </c>
      <c r="H107" t="s">
        <v>87</v>
      </c>
      <c r="I107" t="s">
        <v>70</v>
      </c>
      <c r="J107" t="s">
        <v>71</v>
      </c>
      <c r="K107" t="s">
        <v>72</v>
      </c>
      <c r="L107" t="s">
        <v>68</v>
      </c>
      <c r="M107" t="s">
        <v>68</v>
      </c>
    </row>
    <row r="108" spans="1:13">
      <c r="A108">
        <v>75</v>
      </c>
      <c r="B108" t="s">
        <v>162</v>
      </c>
      <c r="C108" s="2">
        <v>1</v>
      </c>
      <c r="D108" t="s">
        <v>67</v>
      </c>
      <c r="E108" t="s">
        <v>68</v>
      </c>
      <c r="F108" t="s">
        <v>68</v>
      </c>
      <c r="G108" t="s">
        <v>160</v>
      </c>
      <c r="H108" t="s">
        <v>87</v>
      </c>
      <c r="I108" t="s">
        <v>70</v>
      </c>
      <c r="J108" t="s">
        <v>71</v>
      </c>
      <c r="K108" t="s">
        <v>72</v>
      </c>
      <c r="L108" t="s">
        <v>68</v>
      </c>
      <c r="M108" t="s">
        <v>68</v>
      </c>
    </row>
    <row r="109" spans="1:13">
      <c r="A109">
        <v>76</v>
      </c>
      <c r="B109" t="s">
        <v>163</v>
      </c>
      <c r="C109" t="s">
        <v>76</v>
      </c>
      <c r="D109" t="s">
        <v>77</v>
      </c>
      <c r="E109" t="s">
        <v>68</v>
      </c>
      <c r="F109" t="s">
        <v>68</v>
      </c>
      <c r="G109" t="s">
        <v>160</v>
      </c>
      <c r="H109" t="s">
        <v>87</v>
      </c>
      <c r="I109" t="s">
        <v>70</v>
      </c>
      <c r="J109" t="s">
        <v>71</v>
      </c>
      <c r="K109" t="s">
        <v>72</v>
      </c>
      <c r="L109" t="s">
        <v>68</v>
      </c>
      <c r="M109" t="s">
        <v>68</v>
      </c>
    </row>
    <row r="110" spans="1:13">
      <c r="A110">
        <v>77</v>
      </c>
      <c r="B110" t="s">
        <v>164</v>
      </c>
      <c r="C110" t="s">
        <v>76</v>
      </c>
      <c r="D110" t="s">
        <v>77</v>
      </c>
      <c r="E110" t="s">
        <v>68</v>
      </c>
      <c r="F110" t="s">
        <v>68</v>
      </c>
      <c r="G110" t="s">
        <v>160</v>
      </c>
      <c r="H110" t="s">
        <v>87</v>
      </c>
      <c r="I110" t="s">
        <v>70</v>
      </c>
      <c r="J110" t="s">
        <v>71</v>
      </c>
      <c r="K110" t="s">
        <v>72</v>
      </c>
      <c r="L110" t="s">
        <v>68</v>
      </c>
      <c r="M110" t="s">
        <v>68</v>
      </c>
    </row>
    <row r="111" spans="1:13">
      <c r="A111">
        <v>78</v>
      </c>
      <c r="B111" t="s">
        <v>165</v>
      </c>
      <c r="C111" t="s">
        <v>76</v>
      </c>
      <c r="D111" t="s">
        <v>77</v>
      </c>
      <c r="E111" t="s">
        <v>68</v>
      </c>
      <c r="F111" t="s">
        <v>68</v>
      </c>
      <c r="G111" t="s">
        <v>160</v>
      </c>
      <c r="H111" t="s">
        <v>87</v>
      </c>
      <c r="I111" t="s">
        <v>70</v>
      </c>
      <c r="J111" t="s">
        <v>71</v>
      </c>
      <c r="K111" t="s">
        <v>72</v>
      </c>
      <c r="L111" t="s">
        <v>68</v>
      </c>
      <c r="M111" t="s">
        <v>68</v>
      </c>
    </row>
    <row r="112" spans="1:13">
      <c r="A112">
        <v>79</v>
      </c>
      <c r="B112" t="s">
        <v>166</v>
      </c>
      <c r="C112" t="s">
        <v>81</v>
      </c>
      <c r="D112" t="s">
        <v>82</v>
      </c>
      <c r="E112" t="s">
        <v>68</v>
      </c>
      <c r="F112" t="s">
        <v>68</v>
      </c>
      <c r="G112" t="s">
        <v>160</v>
      </c>
      <c r="H112" t="s">
        <v>87</v>
      </c>
      <c r="I112" t="s">
        <v>70</v>
      </c>
      <c r="J112" t="s">
        <v>71</v>
      </c>
      <c r="K112" t="s">
        <v>72</v>
      </c>
      <c r="L112" t="s">
        <v>68</v>
      </c>
      <c r="M112" t="s">
        <v>68</v>
      </c>
    </row>
    <row r="113" spans="1:13">
      <c r="A113">
        <v>80</v>
      </c>
      <c r="B113" t="s">
        <v>167</v>
      </c>
      <c r="C113" t="s">
        <v>81</v>
      </c>
      <c r="D113" t="s">
        <v>82</v>
      </c>
      <c r="E113" t="s">
        <v>68</v>
      </c>
      <c r="F113" t="s">
        <v>68</v>
      </c>
      <c r="G113" t="s">
        <v>160</v>
      </c>
      <c r="H113" t="s">
        <v>87</v>
      </c>
      <c r="I113" t="s">
        <v>70</v>
      </c>
      <c r="J113" t="s">
        <v>71</v>
      </c>
      <c r="K113" t="s">
        <v>72</v>
      </c>
      <c r="L113" t="s">
        <v>68</v>
      </c>
      <c r="M113" t="s">
        <v>68</v>
      </c>
    </row>
    <row r="114" spans="1:13">
      <c r="A114">
        <v>81</v>
      </c>
      <c r="B114" t="s">
        <v>168</v>
      </c>
      <c r="C114" t="s">
        <v>81</v>
      </c>
      <c r="D114" t="s">
        <v>82</v>
      </c>
      <c r="E114" t="s">
        <v>68</v>
      </c>
      <c r="F114" t="s">
        <v>68</v>
      </c>
      <c r="G114" t="s">
        <v>160</v>
      </c>
      <c r="H114" t="s">
        <v>87</v>
      </c>
      <c r="I114" t="s">
        <v>70</v>
      </c>
      <c r="J114" t="s">
        <v>71</v>
      </c>
      <c r="K114" t="s">
        <v>72</v>
      </c>
      <c r="L114" t="s">
        <v>68</v>
      </c>
      <c r="M114" t="s">
        <v>68</v>
      </c>
    </row>
    <row r="115" spans="1:13">
      <c r="A115">
        <v>82</v>
      </c>
      <c r="B115" t="s">
        <v>169</v>
      </c>
      <c r="C115" t="s">
        <v>86</v>
      </c>
      <c r="D115" t="s">
        <v>87</v>
      </c>
      <c r="E115" t="s">
        <v>68</v>
      </c>
      <c r="F115" t="s">
        <v>68</v>
      </c>
      <c r="G115" t="s">
        <v>160</v>
      </c>
      <c r="H115" t="s">
        <v>87</v>
      </c>
      <c r="I115" t="s">
        <v>70</v>
      </c>
      <c r="J115" t="s">
        <v>71</v>
      </c>
      <c r="K115" t="s">
        <v>72</v>
      </c>
      <c r="L115" t="s">
        <v>68</v>
      </c>
      <c r="M115" t="s">
        <v>68</v>
      </c>
    </row>
    <row r="116" spans="1:13">
      <c r="A116">
        <v>83</v>
      </c>
      <c r="B116" t="s">
        <v>170</v>
      </c>
      <c r="C116" t="s">
        <v>86</v>
      </c>
      <c r="D116" t="s">
        <v>87</v>
      </c>
      <c r="E116" t="s">
        <v>68</v>
      </c>
      <c r="F116" t="s">
        <v>68</v>
      </c>
      <c r="G116" t="s">
        <v>160</v>
      </c>
      <c r="H116" t="s">
        <v>87</v>
      </c>
      <c r="I116" t="s">
        <v>70</v>
      </c>
      <c r="J116" t="s">
        <v>71</v>
      </c>
      <c r="K116" t="s">
        <v>72</v>
      </c>
      <c r="L116" t="s">
        <v>68</v>
      </c>
      <c r="M116" t="s">
        <v>68</v>
      </c>
    </row>
    <row r="117" spans="1:13">
      <c r="A117">
        <v>84</v>
      </c>
      <c r="B117" t="s">
        <v>171</v>
      </c>
      <c r="C117" t="s">
        <v>86</v>
      </c>
      <c r="D117" t="s">
        <v>87</v>
      </c>
      <c r="E117" t="s">
        <v>68</v>
      </c>
      <c r="F117" t="s">
        <v>68</v>
      </c>
      <c r="G117" t="s">
        <v>160</v>
      </c>
      <c r="H117" t="s">
        <v>87</v>
      </c>
      <c r="I117" t="s">
        <v>70</v>
      </c>
      <c r="J117" t="s">
        <v>71</v>
      </c>
      <c r="K117" t="s">
        <v>72</v>
      </c>
      <c r="L117" t="s">
        <v>68</v>
      </c>
      <c r="M117" t="s">
        <v>68</v>
      </c>
    </row>
    <row r="118" spans="1:13">
      <c r="A118">
        <v>85</v>
      </c>
      <c r="B118" t="s">
        <v>172</v>
      </c>
      <c r="C118" s="2">
        <v>2</v>
      </c>
      <c r="D118" t="s">
        <v>91</v>
      </c>
      <c r="E118" t="s">
        <v>68</v>
      </c>
      <c r="F118" t="s">
        <v>68</v>
      </c>
      <c r="G118" t="s">
        <v>160</v>
      </c>
      <c r="H118" t="s">
        <v>87</v>
      </c>
      <c r="I118" t="s">
        <v>70</v>
      </c>
      <c r="J118" t="s">
        <v>71</v>
      </c>
      <c r="K118" t="s">
        <v>72</v>
      </c>
      <c r="L118" t="s">
        <v>68</v>
      </c>
      <c r="M118" t="s">
        <v>68</v>
      </c>
    </row>
    <row r="119" spans="1:13">
      <c r="A119">
        <v>86</v>
      </c>
      <c r="B119" t="s">
        <v>173</v>
      </c>
      <c r="C119" s="2">
        <v>2</v>
      </c>
      <c r="D119" t="s">
        <v>91</v>
      </c>
      <c r="E119" t="s">
        <v>68</v>
      </c>
      <c r="F119" t="s">
        <v>68</v>
      </c>
      <c r="G119" t="s">
        <v>160</v>
      </c>
      <c r="H119" t="s">
        <v>87</v>
      </c>
      <c r="I119" t="s">
        <v>70</v>
      </c>
      <c r="J119" t="s">
        <v>71</v>
      </c>
      <c r="K119" t="s">
        <v>72</v>
      </c>
      <c r="L119" t="s">
        <v>68</v>
      </c>
      <c r="M119" t="s">
        <v>68</v>
      </c>
    </row>
    <row r="120" spans="1:13">
      <c r="A120">
        <v>87</v>
      </c>
      <c r="B120" t="s">
        <v>174</v>
      </c>
      <c r="C120" s="2">
        <v>2</v>
      </c>
      <c r="D120" t="s">
        <v>91</v>
      </c>
      <c r="E120" t="s">
        <v>68</v>
      </c>
      <c r="F120" t="s">
        <v>68</v>
      </c>
      <c r="G120" t="s">
        <v>160</v>
      </c>
      <c r="H120" t="s">
        <v>87</v>
      </c>
      <c r="I120" t="s">
        <v>70</v>
      </c>
      <c r="J120" t="s">
        <v>71</v>
      </c>
      <c r="K120" t="s">
        <v>72</v>
      </c>
      <c r="L120" t="s">
        <v>68</v>
      </c>
      <c r="M120" t="s">
        <v>68</v>
      </c>
    </row>
    <row r="121" spans="1:13">
      <c r="A121">
        <v>88</v>
      </c>
      <c r="B121" t="s">
        <v>175</v>
      </c>
      <c r="C121" t="s">
        <v>95</v>
      </c>
      <c r="D121" t="s">
        <v>96</v>
      </c>
      <c r="E121" t="s">
        <v>68</v>
      </c>
      <c r="F121" t="s">
        <v>68</v>
      </c>
      <c r="G121" t="s">
        <v>160</v>
      </c>
      <c r="H121" t="s">
        <v>87</v>
      </c>
      <c r="I121" t="s">
        <v>70</v>
      </c>
      <c r="J121" t="s">
        <v>71</v>
      </c>
      <c r="K121" t="s">
        <v>72</v>
      </c>
      <c r="L121" t="s">
        <v>68</v>
      </c>
      <c r="M121" t="s">
        <v>68</v>
      </c>
    </row>
    <row r="122" spans="1:13">
      <c r="A122">
        <v>89</v>
      </c>
      <c r="B122" t="s">
        <v>176</v>
      </c>
      <c r="C122" t="s">
        <v>95</v>
      </c>
      <c r="D122" t="s">
        <v>96</v>
      </c>
      <c r="E122" t="s">
        <v>68</v>
      </c>
      <c r="F122" t="s">
        <v>68</v>
      </c>
      <c r="G122" t="s">
        <v>160</v>
      </c>
      <c r="H122" t="s">
        <v>87</v>
      </c>
      <c r="I122" t="s">
        <v>70</v>
      </c>
      <c r="J122" t="s">
        <v>71</v>
      </c>
      <c r="K122" t="s">
        <v>72</v>
      </c>
      <c r="L122" t="s">
        <v>68</v>
      </c>
      <c r="M122" t="s">
        <v>68</v>
      </c>
    </row>
    <row r="123" spans="1:13">
      <c r="A123">
        <v>90</v>
      </c>
      <c r="B123" t="s">
        <v>177</v>
      </c>
      <c r="C123" t="s">
        <v>95</v>
      </c>
      <c r="D123" t="s">
        <v>96</v>
      </c>
      <c r="E123" t="s">
        <v>68</v>
      </c>
      <c r="F123" t="s">
        <v>68</v>
      </c>
      <c r="G123" t="s">
        <v>160</v>
      </c>
      <c r="H123" t="s">
        <v>87</v>
      </c>
      <c r="I123" t="s">
        <v>70</v>
      </c>
      <c r="J123" t="s">
        <v>71</v>
      </c>
      <c r="K123" t="s">
        <v>72</v>
      </c>
      <c r="L123" t="s">
        <v>68</v>
      </c>
      <c r="M123" t="s">
        <v>68</v>
      </c>
    </row>
    <row r="124" spans="1:13">
      <c r="A124">
        <v>91</v>
      </c>
      <c r="B124" t="s">
        <v>178</v>
      </c>
      <c r="C124" t="s">
        <v>100</v>
      </c>
      <c r="D124" t="s">
        <v>101</v>
      </c>
      <c r="E124" t="s">
        <v>68</v>
      </c>
      <c r="F124" t="s">
        <v>68</v>
      </c>
      <c r="G124" t="s">
        <v>160</v>
      </c>
      <c r="H124" t="s">
        <v>87</v>
      </c>
      <c r="I124" t="s">
        <v>70</v>
      </c>
      <c r="J124" t="s">
        <v>71</v>
      </c>
      <c r="K124" t="s">
        <v>72</v>
      </c>
      <c r="L124" t="s">
        <v>68</v>
      </c>
      <c r="M124" t="s">
        <v>68</v>
      </c>
    </row>
    <row r="125" spans="1:13">
      <c r="A125">
        <v>92</v>
      </c>
      <c r="B125" t="s">
        <v>179</v>
      </c>
      <c r="C125" t="s">
        <v>100</v>
      </c>
      <c r="D125" t="s">
        <v>101</v>
      </c>
      <c r="E125" t="s">
        <v>68</v>
      </c>
      <c r="F125" t="s">
        <v>68</v>
      </c>
      <c r="G125" t="s">
        <v>160</v>
      </c>
      <c r="H125" t="s">
        <v>87</v>
      </c>
      <c r="I125" t="s">
        <v>70</v>
      </c>
      <c r="J125" t="s">
        <v>71</v>
      </c>
      <c r="K125" t="s">
        <v>72</v>
      </c>
      <c r="L125" t="s">
        <v>68</v>
      </c>
      <c r="M125" t="s">
        <v>68</v>
      </c>
    </row>
    <row r="126" spans="1:13">
      <c r="A126">
        <v>93</v>
      </c>
      <c r="B126" t="s">
        <v>180</v>
      </c>
      <c r="C126" t="s">
        <v>100</v>
      </c>
      <c r="D126" t="s">
        <v>101</v>
      </c>
      <c r="E126" t="s">
        <v>68</v>
      </c>
      <c r="F126" t="s">
        <v>68</v>
      </c>
      <c r="G126" t="s">
        <v>160</v>
      </c>
      <c r="H126" t="s">
        <v>87</v>
      </c>
      <c r="I126" t="s">
        <v>70</v>
      </c>
      <c r="J126" t="s">
        <v>71</v>
      </c>
      <c r="K126" t="s">
        <v>72</v>
      </c>
      <c r="L126" t="s">
        <v>68</v>
      </c>
      <c r="M126" t="s">
        <v>68</v>
      </c>
    </row>
    <row r="127" spans="1:13">
      <c r="A127">
        <v>94</v>
      </c>
      <c r="B127" t="s">
        <v>181</v>
      </c>
      <c r="C127" t="s">
        <v>105</v>
      </c>
      <c r="D127" t="s">
        <v>106</v>
      </c>
      <c r="E127" t="s">
        <v>68</v>
      </c>
      <c r="F127" t="s">
        <v>68</v>
      </c>
      <c r="G127" t="s">
        <v>160</v>
      </c>
      <c r="H127" t="s">
        <v>87</v>
      </c>
      <c r="I127" t="s">
        <v>70</v>
      </c>
      <c r="J127" t="s">
        <v>71</v>
      </c>
      <c r="K127" t="s">
        <v>72</v>
      </c>
      <c r="L127" t="s">
        <v>68</v>
      </c>
      <c r="M127" t="s">
        <v>68</v>
      </c>
    </row>
    <row r="128" spans="1:13">
      <c r="A128">
        <v>95</v>
      </c>
      <c r="B128" t="s">
        <v>182</v>
      </c>
      <c r="C128" t="s">
        <v>105</v>
      </c>
      <c r="D128" t="s">
        <v>106</v>
      </c>
      <c r="E128" t="s">
        <v>68</v>
      </c>
      <c r="F128" t="s">
        <v>68</v>
      </c>
      <c r="G128" t="s">
        <v>160</v>
      </c>
      <c r="H128" t="s">
        <v>87</v>
      </c>
      <c r="I128" t="s">
        <v>70</v>
      </c>
      <c r="J128" t="s">
        <v>71</v>
      </c>
      <c r="K128" t="s">
        <v>72</v>
      </c>
      <c r="L128" t="s">
        <v>68</v>
      </c>
      <c r="M128" t="s">
        <v>68</v>
      </c>
    </row>
    <row r="129" spans="1:13">
      <c r="A129">
        <v>96</v>
      </c>
      <c r="B129" t="s">
        <v>183</v>
      </c>
      <c r="C129" t="s">
        <v>105</v>
      </c>
      <c r="D129" t="s">
        <v>106</v>
      </c>
      <c r="E129" t="s">
        <v>68</v>
      </c>
      <c r="F129" t="s">
        <v>68</v>
      </c>
      <c r="G129" t="s">
        <v>160</v>
      </c>
      <c r="H129" t="s">
        <v>87</v>
      </c>
      <c r="I129" t="s">
        <v>70</v>
      </c>
      <c r="J129" t="s">
        <v>71</v>
      </c>
      <c r="K129" t="s">
        <v>72</v>
      </c>
      <c r="L129" t="s">
        <v>68</v>
      </c>
      <c r="M129" t="s">
        <v>68</v>
      </c>
    </row>
    <row r="130" spans="1:13">
      <c r="A130">
        <v>97</v>
      </c>
      <c r="B130" t="s">
        <v>184</v>
      </c>
      <c r="C130" s="2">
        <v>1</v>
      </c>
      <c r="D130" t="s">
        <v>67</v>
      </c>
      <c r="E130" t="s">
        <v>68</v>
      </c>
      <c r="F130" t="s">
        <v>68</v>
      </c>
      <c r="G130" t="s">
        <v>185</v>
      </c>
      <c r="H130" t="s">
        <v>91</v>
      </c>
      <c r="I130" t="s">
        <v>70</v>
      </c>
      <c r="J130" t="s">
        <v>71</v>
      </c>
      <c r="K130" t="s">
        <v>72</v>
      </c>
      <c r="L130" t="s">
        <v>68</v>
      </c>
      <c r="M130" t="s">
        <v>68</v>
      </c>
    </row>
    <row r="131" spans="1:13">
      <c r="A131">
        <v>98</v>
      </c>
      <c r="B131" t="s">
        <v>186</v>
      </c>
      <c r="C131" s="2">
        <v>1</v>
      </c>
      <c r="D131" t="s">
        <v>67</v>
      </c>
      <c r="E131" t="s">
        <v>68</v>
      </c>
      <c r="F131" t="s">
        <v>68</v>
      </c>
      <c r="G131" t="s">
        <v>185</v>
      </c>
      <c r="H131" t="s">
        <v>91</v>
      </c>
      <c r="I131" t="s">
        <v>70</v>
      </c>
      <c r="J131" t="s">
        <v>71</v>
      </c>
      <c r="K131" t="s">
        <v>72</v>
      </c>
      <c r="L131" t="s">
        <v>68</v>
      </c>
      <c r="M131" t="s">
        <v>68</v>
      </c>
    </row>
    <row r="132" spans="1:13">
      <c r="A132">
        <v>99</v>
      </c>
      <c r="B132" t="s">
        <v>187</v>
      </c>
      <c r="C132" s="2">
        <v>1</v>
      </c>
      <c r="D132" t="s">
        <v>67</v>
      </c>
      <c r="E132" t="s">
        <v>68</v>
      </c>
      <c r="F132" t="s">
        <v>68</v>
      </c>
      <c r="G132" t="s">
        <v>185</v>
      </c>
      <c r="H132" t="s">
        <v>91</v>
      </c>
      <c r="I132" t="s">
        <v>70</v>
      </c>
      <c r="J132" t="s">
        <v>71</v>
      </c>
      <c r="K132" t="s">
        <v>72</v>
      </c>
      <c r="L132" t="s">
        <v>68</v>
      </c>
      <c r="M132" t="s">
        <v>68</v>
      </c>
    </row>
    <row r="133" spans="1:13">
      <c r="A133">
        <v>100</v>
      </c>
      <c r="B133" t="s">
        <v>188</v>
      </c>
      <c r="C133" t="s">
        <v>76</v>
      </c>
      <c r="D133" t="s">
        <v>77</v>
      </c>
      <c r="E133" t="s">
        <v>68</v>
      </c>
      <c r="F133" t="s">
        <v>68</v>
      </c>
      <c r="G133" t="s">
        <v>185</v>
      </c>
      <c r="H133" t="s">
        <v>91</v>
      </c>
      <c r="I133" t="s">
        <v>70</v>
      </c>
      <c r="J133" t="s">
        <v>71</v>
      </c>
      <c r="K133" t="s">
        <v>72</v>
      </c>
      <c r="L133" t="s">
        <v>68</v>
      </c>
      <c r="M133" t="s">
        <v>68</v>
      </c>
    </row>
    <row r="134" spans="1:13">
      <c r="A134">
        <v>101</v>
      </c>
      <c r="B134" t="s">
        <v>189</v>
      </c>
      <c r="C134" t="s">
        <v>76</v>
      </c>
      <c r="D134" t="s">
        <v>77</v>
      </c>
      <c r="E134" t="s">
        <v>68</v>
      </c>
      <c r="F134" t="s">
        <v>68</v>
      </c>
      <c r="G134" t="s">
        <v>185</v>
      </c>
      <c r="H134" t="s">
        <v>91</v>
      </c>
      <c r="I134" t="s">
        <v>70</v>
      </c>
      <c r="J134" t="s">
        <v>71</v>
      </c>
      <c r="K134" t="s">
        <v>72</v>
      </c>
      <c r="L134" t="s">
        <v>68</v>
      </c>
      <c r="M134" t="s">
        <v>68</v>
      </c>
    </row>
    <row r="135" spans="1:13">
      <c r="A135">
        <v>102</v>
      </c>
      <c r="B135" t="s">
        <v>190</v>
      </c>
      <c r="C135" t="s">
        <v>76</v>
      </c>
      <c r="D135" t="s">
        <v>77</v>
      </c>
      <c r="E135" t="s">
        <v>68</v>
      </c>
      <c r="F135" t="s">
        <v>68</v>
      </c>
      <c r="G135" t="s">
        <v>185</v>
      </c>
      <c r="H135" t="s">
        <v>91</v>
      </c>
      <c r="I135" t="s">
        <v>70</v>
      </c>
      <c r="J135" t="s">
        <v>71</v>
      </c>
      <c r="K135" t="s">
        <v>72</v>
      </c>
      <c r="L135" t="s">
        <v>68</v>
      </c>
      <c r="M135" t="s">
        <v>68</v>
      </c>
    </row>
    <row r="136" spans="1:13">
      <c r="A136">
        <v>103</v>
      </c>
      <c r="B136" t="s">
        <v>191</v>
      </c>
      <c r="C136" t="s">
        <v>81</v>
      </c>
      <c r="D136" t="s">
        <v>82</v>
      </c>
      <c r="E136" t="s">
        <v>68</v>
      </c>
      <c r="F136" t="s">
        <v>68</v>
      </c>
      <c r="G136" t="s">
        <v>185</v>
      </c>
      <c r="H136" t="s">
        <v>91</v>
      </c>
      <c r="I136" t="s">
        <v>70</v>
      </c>
      <c r="J136" t="s">
        <v>71</v>
      </c>
      <c r="K136" t="s">
        <v>72</v>
      </c>
      <c r="L136" t="s">
        <v>68</v>
      </c>
      <c r="M136" t="s">
        <v>68</v>
      </c>
    </row>
    <row r="137" spans="1:13">
      <c r="A137">
        <v>104</v>
      </c>
      <c r="B137" t="s">
        <v>192</v>
      </c>
      <c r="C137" t="s">
        <v>81</v>
      </c>
      <c r="D137" t="s">
        <v>82</v>
      </c>
      <c r="E137" t="s">
        <v>68</v>
      </c>
      <c r="F137" t="s">
        <v>68</v>
      </c>
      <c r="G137" t="s">
        <v>185</v>
      </c>
      <c r="H137" t="s">
        <v>91</v>
      </c>
      <c r="I137" t="s">
        <v>70</v>
      </c>
      <c r="J137" t="s">
        <v>71</v>
      </c>
      <c r="K137" t="s">
        <v>72</v>
      </c>
      <c r="L137" t="s">
        <v>68</v>
      </c>
      <c r="M137" t="s">
        <v>68</v>
      </c>
    </row>
    <row r="138" spans="1:13">
      <c r="A138">
        <v>105</v>
      </c>
      <c r="B138" t="s">
        <v>193</v>
      </c>
      <c r="C138" t="s">
        <v>81</v>
      </c>
      <c r="D138" t="s">
        <v>82</v>
      </c>
      <c r="E138" t="s">
        <v>68</v>
      </c>
      <c r="F138" t="s">
        <v>68</v>
      </c>
      <c r="G138" t="s">
        <v>185</v>
      </c>
      <c r="H138" t="s">
        <v>91</v>
      </c>
      <c r="I138" t="s">
        <v>70</v>
      </c>
      <c r="J138" t="s">
        <v>71</v>
      </c>
      <c r="K138" t="s">
        <v>72</v>
      </c>
      <c r="L138" t="s">
        <v>68</v>
      </c>
      <c r="M138" t="s">
        <v>68</v>
      </c>
    </row>
    <row r="139" spans="1:13">
      <c r="A139">
        <v>106</v>
      </c>
      <c r="B139" t="s">
        <v>194</v>
      </c>
      <c r="C139" t="s">
        <v>86</v>
      </c>
      <c r="D139" t="s">
        <v>87</v>
      </c>
      <c r="E139" t="s">
        <v>68</v>
      </c>
      <c r="F139" t="s">
        <v>68</v>
      </c>
      <c r="G139" t="s">
        <v>185</v>
      </c>
      <c r="H139" t="s">
        <v>91</v>
      </c>
      <c r="I139" t="s">
        <v>70</v>
      </c>
      <c r="J139" t="s">
        <v>71</v>
      </c>
      <c r="K139" t="s">
        <v>72</v>
      </c>
      <c r="L139" t="s">
        <v>68</v>
      </c>
      <c r="M139" t="s">
        <v>68</v>
      </c>
    </row>
    <row r="140" spans="1:13">
      <c r="A140">
        <v>107</v>
      </c>
      <c r="B140" t="s">
        <v>195</v>
      </c>
      <c r="C140" t="s">
        <v>86</v>
      </c>
      <c r="D140" t="s">
        <v>87</v>
      </c>
      <c r="E140" t="s">
        <v>68</v>
      </c>
      <c r="F140" t="s">
        <v>68</v>
      </c>
      <c r="G140" t="s">
        <v>185</v>
      </c>
      <c r="H140" t="s">
        <v>91</v>
      </c>
      <c r="I140" t="s">
        <v>70</v>
      </c>
      <c r="J140" t="s">
        <v>71</v>
      </c>
      <c r="K140" t="s">
        <v>72</v>
      </c>
      <c r="L140" t="s">
        <v>68</v>
      </c>
      <c r="M140" t="s">
        <v>68</v>
      </c>
    </row>
    <row r="141" spans="1:13">
      <c r="A141">
        <v>108</v>
      </c>
      <c r="B141" t="s">
        <v>196</v>
      </c>
      <c r="C141" t="s">
        <v>86</v>
      </c>
      <c r="D141" t="s">
        <v>87</v>
      </c>
      <c r="E141" t="s">
        <v>68</v>
      </c>
      <c r="F141" t="s">
        <v>68</v>
      </c>
      <c r="G141" t="s">
        <v>185</v>
      </c>
      <c r="H141" t="s">
        <v>91</v>
      </c>
      <c r="I141" t="s">
        <v>70</v>
      </c>
      <c r="J141" t="s">
        <v>71</v>
      </c>
      <c r="K141" t="s">
        <v>72</v>
      </c>
      <c r="L141" t="s">
        <v>68</v>
      </c>
      <c r="M141" t="s">
        <v>68</v>
      </c>
    </row>
    <row r="142" spans="1:13">
      <c r="A142">
        <v>109</v>
      </c>
      <c r="B142" t="s">
        <v>197</v>
      </c>
      <c r="C142" s="2">
        <v>2</v>
      </c>
      <c r="D142" t="s">
        <v>91</v>
      </c>
      <c r="E142" t="s">
        <v>68</v>
      </c>
      <c r="F142" t="s">
        <v>68</v>
      </c>
      <c r="G142" t="s">
        <v>185</v>
      </c>
      <c r="H142" t="s">
        <v>91</v>
      </c>
      <c r="I142" t="s">
        <v>70</v>
      </c>
      <c r="J142" t="s">
        <v>71</v>
      </c>
      <c r="K142" t="s">
        <v>72</v>
      </c>
      <c r="L142" t="s">
        <v>68</v>
      </c>
      <c r="M142" t="s">
        <v>68</v>
      </c>
    </row>
    <row r="143" spans="1:13">
      <c r="A143">
        <v>110</v>
      </c>
      <c r="B143" t="s">
        <v>198</v>
      </c>
      <c r="C143" s="2">
        <v>2</v>
      </c>
      <c r="D143" t="s">
        <v>91</v>
      </c>
      <c r="E143" t="s">
        <v>68</v>
      </c>
      <c r="F143" t="s">
        <v>68</v>
      </c>
      <c r="G143" t="s">
        <v>185</v>
      </c>
      <c r="H143" t="s">
        <v>91</v>
      </c>
      <c r="I143" t="s">
        <v>70</v>
      </c>
      <c r="J143" t="s">
        <v>71</v>
      </c>
      <c r="K143" t="s">
        <v>72</v>
      </c>
      <c r="L143" t="s">
        <v>68</v>
      </c>
      <c r="M143" t="s">
        <v>68</v>
      </c>
    </row>
    <row r="144" spans="1:13">
      <c r="A144">
        <v>111</v>
      </c>
      <c r="B144" t="s">
        <v>199</v>
      </c>
      <c r="C144" s="2">
        <v>2</v>
      </c>
      <c r="D144" t="s">
        <v>91</v>
      </c>
      <c r="E144" t="s">
        <v>68</v>
      </c>
      <c r="F144" t="s">
        <v>68</v>
      </c>
      <c r="G144" t="s">
        <v>185</v>
      </c>
      <c r="H144" t="s">
        <v>91</v>
      </c>
      <c r="I144" t="s">
        <v>70</v>
      </c>
      <c r="J144" t="s">
        <v>71</v>
      </c>
      <c r="K144" t="s">
        <v>72</v>
      </c>
      <c r="L144" t="s">
        <v>68</v>
      </c>
      <c r="M144" t="s">
        <v>68</v>
      </c>
    </row>
    <row r="145" spans="1:13">
      <c r="A145">
        <v>112</v>
      </c>
      <c r="B145" t="s">
        <v>200</v>
      </c>
      <c r="C145" t="s">
        <v>95</v>
      </c>
      <c r="D145" t="s">
        <v>96</v>
      </c>
      <c r="E145" t="s">
        <v>68</v>
      </c>
      <c r="F145" t="s">
        <v>68</v>
      </c>
      <c r="G145" t="s">
        <v>185</v>
      </c>
      <c r="H145" t="s">
        <v>91</v>
      </c>
      <c r="I145" t="s">
        <v>70</v>
      </c>
      <c r="J145" t="s">
        <v>71</v>
      </c>
      <c r="K145" t="s">
        <v>72</v>
      </c>
      <c r="L145" t="s">
        <v>68</v>
      </c>
      <c r="M145" t="s">
        <v>68</v>
      </c>
    </row>
    <row r="146" spans="1:13">
      <c r="A146">
        <v>113</v>
      </c>
      <c r="B146" t="s">
        <v>201</v>
      </c>
      <c r="C146" t="s">
        <v>95</v>
      </c>
      <c r="D146" t="s">
        <v>96</v>
      </c>
      <c r="E146" t="s">
        <v>68</v>
      </c>
      <c r="F146" t="s">
        <v>68</v>
      </c>
      <c r="G146" t="s">
        <v>185</v>
      </c>
      <c r="H146" t="s">
        <v>91</v>
      </c>
      <c r="I146" t="s">
        <v>70</v>
      </c>
      <c r="J146" t="s">
        <v>71</v>
      </c>
      <c r="K146" t="s">
        <v>72</v>
      </c>
      <c r="L146" t="s">
        <v>68</v>
      </c>
      <c r="M146" t="s">
        <v>68</v>
      </c>
    </row>
    <row r="147" spans="1:13">
      <c r="A147">
        <v>114</v>
      </c>
      <c r="B147" t="s">
        <v>202</v>
      </c>
      <c r="C147" t="s">
        <v>95</v>
      </c>
      <c r="D147" t="s">
        <v>96</v>
      </c>
      <c r="E147" t="s">
        <v>68</v>
      </c>
      <c r="F147" t="s">
        <v>68</v>
      </c>
      <c r="G147" t="s">
        <v>185</v>
      </c>
      <c r="H147" t="s">
        <v>91</v>
      </c>
      <c r="I147" t="s">
        <v>70</v>
      </c>
      <c r="J147" t="s">
        <v>71</v>
      </c>
      <c r="K147" t="s">
        <v>72</v>
      </c>
      <c r="L147" t="s">
        <v>68</v>
      </c>
      <c r="M147" t="s">
        <v>68</v>
      </c>
    </row>
    <row r="148" spans="1:13">
      <c r="A148">
        <v>115</v>
      </c>
      <c r="B148" t="s">
        <v>203</v>
      </c>
      <c r="C148" t="s">
        <v>100</v>
      </c>
      <c r="D148" t="s">
        <v>101</v>
      </c>
      <c r="E148" t="s">
        <v>68</v>
      </c>
      <c r="F148" t="s">
        <v>68</v>
      </c>
      <c r="G148" t="s">
        <v>185</v>
      </c>
      <c r="H148" t="s">
        <v>91</v>
      </c>
      <c r="I148" t="s">
        <v>70</v>
      </c>
      <c r="J148" t="s">
        <v>71</v>
      </c>
      <c r="K148" t="s">
        <v>72</v>
      </c>
      <c r="L148" t="s">
        <v>68</v>
      </c>
      <c r="M148" t="s">
        <v>68</v>
      </c>
    </row>
    <row r="149" spans="1:13">
      <c r="A149">
        <v>116</v>
      </c>
      <c r="B149" t="s">
        <v>204</v>
      </c>
      <c r="C149" t="s">
        <v>100</v>
      </c>
      <c r="D149" t="s">
        <v>101</v>
      </c>
      <c r="E149" t="s">
        <v>68</v>
      </c>
      <c r="F149" t="s">
        <v>68</v>
      </c>
      <c r="G149" t="s">
        <v>185</v>
      </c>
      <c r="H149" t="s">
        <v>91</v>
      </c>
      <c r="I149" t="s">
        <v>70</v>
      </c>
      <c r="J149" t="s">
        <v>71</v>
      </c>
      <c r="K149" t="s">
        <v>72</v>
      </c>
      <c r="L149" t="s">
        <v>68</v>
      </c>
      <c r="M149" t="s">
        <v>68</v>
      </c>
    </row>
    <row r="150" spans="1:13">
      <c r="A150">
        <v>117</v>
      </c>
      <c r="B150" t="s">
        <v>205</v>
      </c>
      <c r="C150" t="s">
        <v>100</v>
      </c>
      <c r="D150" t="s">
        <v>101</v>
      </c>
      <c r="E150" t="s">
        <v>68</v>
      </c>
      <c r="F150" t="s">
        <v>68</v>
      </c>
      <c r="G150" t="s">
        <v>185</v>
      </c>
      <c r="H150" t="s">
        <v>91</v>
      </c>
      <c r="I150" t="s">
        <v>70</v>
      </c>
      <c r="J150" t="s">
        <v>71</v>
      </c>
      <c r="K150" t="s">
        <v>72</v>
      </c>
      <c r="L150" t="s">
        <v>68</v>
      </c>
      <c r="M150" t="s">
        <v>68</v>
      </c>
    </row>
    <row r="151" spans="1:13">
      <c r="A151">
        <v>118</v>
      </c>
      <c r="B151" t="s">
        <v>206</v>
      </c>
      <c r="C151" t="s">
        <v>105</v>
      </c>
      <c r="D151" t="s">
        <v>106</v>
      </c>
      <c r="E151" t="s">
        <v>68</v>
      </c>
      <c r="F151" t="s">
        <v>68</v>
      </c>
      <c r="G151" t="s">
        <v>185</v>
      </c>
      <c r="H151" t="s">
        <v>91</v>
      </c>
      <c r="I151" t="s">
        <v>70</v>
      </c>
      <c r="J151" t="s">
        <v>71</v>
      </c>
      <c r="K151" t="s">
        <v>72</v>
      </c>
      <c r="L151" t="s">
        <v>68</v>
      </c>
      <c r="M151" t="s">
        <v>68</v>
      </c>
    </row>
    <row r="152" spans="1:13">
      <c r="A152">
        <v>119</v>
      </c>
      <c r="B152" t="s">
        <v>207</v>
      </c>
      <c r="C152" t="s">
        <v>105</v>
      </c>
      <c r="D152" t="s">
        <v>106</v>
      </c>
      <c r="E152" t="s">
        <v>68</v>
      </c>
      <c r="F152" t="s">
        <v>68</v>
      </c>
      <c r="G152" t="s">
        <v>185</v>
      </c>
      <c r="H152" t="s">
        <v>91</v>
      </c>
      <c r="I152" t="s">
        <v>70</v>
      </c>
      <c r="J152" t="s">
        <v>71</v>
      </c>
      <c r="K152" t="s">
        <v>72</v>
      </c>
      <c r="L152" t="s">
        <v>68</v>
      </c>
      <c r="M152" t="s">
        <v>68</v>
      </c>
    </row>
    <row r="153" spans="1:13">
      <c r="A153">
        <v>120</v>
      </c>
      <c r="B153" t="s">
        <v>208</v>
      </c>
      <c r="C153" t="s">
        <v>105</v>
      </c>
      <c r="D153" t="s">
        <v>106</v>
      </c>
      <c r="E153" t="s">
        <v>68</v>
      </c>
      <c r="F153" t="s">
        <v>68</v>
      </c>
      <c r="G153" t="s">
        <v>185</v>
      </c>
      <c r="H153" t="s">
        <v>91</v>
      </c>
      <c r="I153" t="s">
        <v>70</v>
      </c>
      <c r="J153" t="s">
        <v>71</v>
      </c>
      <c r="K153" t="s">
        <v>72</v>
      </c>
      <c r="L153" t="s">
        <v>68</v>
      </c>
      <c r="M153" t="s">
        <v>68</v>
      </c>
    </row>
    <row r="154" spans="1:13">
      <c r="A154">
        <v>121</v>
      </c>
      <c r="B154" t="s">
        <v>209</v>
      </c>
      <c r="C154" s="2">
        <v>1</v>
      </c>
      <c r="D154" t="s">
        <v>67</v>
      </c>
      <c r="E154" t="s">
        <v>68</v>
      </c>
      <c r="F154" t="s">
        <v>68</v>
      </c>
      <c r="G154" t="s">
        <v>210</v>
      </c>
      <c r="H154" t="s">
        <v>96</v>
      </c>
      <c r="I154" t="s">
        <v>70</v>
      </c>
      <c r="J154" t="s">
        <v>71</v>
      </c>
      <c r="K154" t="s">
        <v>72</v>
      </c>
      <c r="L154" t="s">
        <v>68</v>
      </c>
      <c r="M154" t="s">
        <v>68</v>
      </c>
    </row>
    <row r="155" spans="1:13">
      <c r="A155">
        <v>122</v>
      </c>
      <c r="B155" t="s">
        <v>211</v>
      </c>
      <c r="C155" s="2">
        <v>1</v>
      </c>
      <c r="D155" t="s">
        <v>67</v>
      </c>
      <c r="E155" t="s">
        <v>68</v>
      </c>
      <c r="F155" t="s">
        <v>68</v>
      </c>
      <c r="G155" t="s">
        <v>210</v>
      </c>
      <c r="H155" t="s">
        <v>96</v>
      </c>
      <c r="I155" t="s">
        <v>70</v>
      </c>
      <c r="J155" t="s">
        <v>71</v>
      </c>
      <c r="K155" t="s">
        <v>72</v>
      </c>
      <c r="L155" t="s">
        <v>68</v>
      </c>
      <c r="M155" t="s">
        <v>68</v>
      </c>
    </row>
    <row r="156" spans="1:13">
      <c r="A156">
        <v>123</v>
      </c>
      <c r="B156" t="s">
        <v>212</v>
      </c>
      <c r="C156" s="2">
        <v>1</v>
      </c>
      <c r="D156" t="s">
        <v>67</v>
      </c>
      <c r="E156" t="s">
        <v>68</v>
      </c>
      <c r="F156" t="s">
        <v>68</v>
      </c>
      <c r="G156" t="s">
        <v>210</v>
      </c>
      <c r="H156" t="s">
        <v>96</v>
      </c>
      <c r="I156" t="s">
        <v>70</v>
      </c>
      <c r="J156" t="s">
        <v>71</v>
      </c>
      <c r="K156" t="s">
        <v>72</v>
      </c>
      <c r="L156" t="s">
        <v>68</v>
      </c>
      <c r="M156" t="s">
        <v>68</v>
      </c>
    </row>
    <row r="157" spans="1:13">
      <c r="A157">
        <v>124</v>
      </c>
      <c r="B157" t="s">
        <v>213</v>
      </c>
      <c r="C157" t="s">
        <v>76</v>
      </c>
      <c r="D157" t="s">
        <v>77</v>
      </c>
      <c r="E157" t="s">
        <v>68</v>
      </c>
      <c r="F157" t="s">
        <v>68</v>
      </c>
      <c r="G157" t="s">
        <v>210</v>
      </c>
      <c r="H157" t="s">
        <v>96</v>
      </c>
      <c r="I157" t="s">
        <v>70</v>
      </c>
      <c r="J157" t="s">
        <v>71</v>
      </c>
      <c r="K157" t="s">
        <v>72</v>
      </c>
      <c r="L157" t="s">
        <v>68</v>
      </c>
      <c r="M157" t="s">
        <v>68</v>
      </c>
    </row>
    <row r="158" spans="1:13">
      <c r="A158">
        <v>125</v>
      </c>
      <c r="B158" t="s">
        <v>214</v>
      </c>
      <c r="C158" t="s">
        <v>76</v>
      </c>
      <c r="D158" t="s">
        <v>77</v>
      </c>
      <c r="E158" t="s">
        <v>68</v>
      </c>
      <c r="F158" t="s">
        <v>68</v>
      </c>
      <c r="G158" t="s">
        <v>210</v>
      </c>
      <c r="H158" t="s">
        <v>96</v>
      </c>
      <c r="I158" t="s">
        <v>70</v>
      </c>
      <c r="J158" t="s">
        <v>71</v>
      </c>
      <c r="K158" t="s">
        <v>72</v>
      </c>
      <c r="L158" t="s">
        <v>68</v>
      </c>
      <c r="M158" t="s">
        <v>68</v>
      </c>
    </row>
    <row r="159" spans="1:13">
      <c r="A159">
        <v>126</v>
      </c>
      <c r="B159" t="s">
        <v>215</v>
      </c>
      <c r="C159" t="s">
        <v>76</v>
      </c>
      <c r="D159" t="s">
        <v>77</v>
      </c>
      <c r="E159" t="s">
        <v>68</v>
      </c>
      <c r="F159" t="s">
        <v>68</v>
      </c>
      <c r="G159" t="s">
        <v>210</v>
      </c>
      <c r="H159" t="s">
        <v>96</v>
      </c>
      <c r="I159" t="s">
        <v>70</v>
      </c>
      <c r="J159" t="s">
        <v>71</v>
      </c>
      <c r="K159" t="s">
        <v>72</v>
      </c>
      <c r="L159" t="s">
        <v>68</v>
      </c>
      <c r="M159" t="s">
        <v>68</v>
      </c>
    </row>
    <row r="160" spans="1:13">
      <c r="A160">
        <v>127</v>
      </c>
      <c r="B160" t="s">
        <v>216</v>
      </c>
      <c r="C160" t="s">
        <v>81</v>
      </c>
      <c r="D160" t="s">
        <v>82</v>
      </c>
      <c r="E160" t="s">
        <v>68</v>
      </c>
      <c r="F160" t="s">
        <v>68</v>
      </c>
      <c r="G160" t="s">
        <v>210</v>
      </c>
      <c r="H160" t="s">
        <v>96</v>
      </c>
      <c r="I160" t="s">
        <v>70</v>
      </c>
      <c r="J160" t="s">
        <v>71</v>
      </c>
      <c r="K160" t="s">
        <v>72</v>
      </c>
      <c r="L160" t="s">
        <v>68</v>
      </c>
      <c r="M160" t="s">
        <v>68</v>
      </c>
    </row>
    <row r="161" spans="1:13">
      <c r="A161">
        <v>128</v>
      </c>
      <c r="B161" t="s">
        <v>217</v>
      </c>
      <c r="C161" t="s">
        <v>81</v>
      </c>
      <c r="D161" t="s">
        <v>82</v>
      </c>
      <c r="E161" t="s">
        <v>68</v>
      </c>
      <c r="F161" t="s">
        <v>68</v>
      </c>
      <c r="G161" t="s">
        <v>210</v>
      </c>
      <c r="H161" t="s">
        <v>96</v>
      </c>
      <c r="I161" t="s">
        <v>70</v>
      </c>
      <c r="J161" t="s">
        <v>71</v>
      </c>
      <c r="K161" t="s">
        <v>72</v>
      </c>
      <c r="L161" t="s">
        <v>68</v>
      </c>
      <c r="M161" t="s">
        <v>68</v>
      </c>
    </row>
    <row r="162" spans="1:13">
      <c r="A162">
        <v>129</v>
      </c>
      <c r="B162" t="s">
        <v>218</v>
      </c>
      <c r="C162" t="s">
        <v>81</v>
      </c>
      <c r="D162" t="s">
        <v>82</v>
      </c>
      <c r="E162" t="s">
        <v>68</v>
      </c>
      <c r="F162" t="s">
        <v>68</v>
      </c>
      <c r="G162" t="s">
        <v>210</v>
      </c>
      <c r="H162" t="s">
        <v>96</v>
      </c>
      <c r="I162" t="s">
        <v>70</v>
      </c>
      <c r="J162" t="s">
        <v>71</v>
      </c>
      <c r="K162" t="s">
        <v>72</v>
      </c>
      <c r="L162" t="s">
        <v>68</v>
      </c>
      <c r="M162" t="s">
        <v>68</v>
      </c>
    </row>
    <row r="163" spans="1:13">
      <c r="A163">
        <v>130</v>
      </c>
      <c r="B163" t="s">
        <v>219</v>
      </c>
      <c r="C163" t="s">
        <v>86</v>
      </c>
      <c r="D163" t="s">
        <v>87</v>
      </c>
      <c r="E163" t="s">
        <v>68</v>
      </c>
      <c r="F163" t="s">
        <v>68</v>
      </c>
      <c r="G163" t="s">
        <v>210</v>
      </c>
      <c r="H163" t="s">
        <v>96</v>
      </c>
      <c r="I163" t="s">
        <v>70</v>
      </c>
      <c r="J163" t="s">
        <v>71</v>
      </c>
      <c r="K163" t="s">
        <v>72</v>
      </c>
      <c r="L163" t="s">
        <v>68</v>
      </c>
      <c r="M163" t="s">
        <v>68</v>
      </c>
    </row>
    <row r="164" spans="1:13">
      <c r="A164">
        <v>131</v>
      </c>
      <c r="B164" t="s">
        <v>220</v>
      </c>
      <c r="C164" t="s">
        <v>86</v>
      </c>
      <c r="D164" t="s">
        <v>87</v>
      </c>
      <c r="E164" t="s">
        <v>68</v>
      </c>
      <c r="F164" t="s">
        <v>68</v>
      </c>
      <c r="G164" t="s">
        <v>210</v>
      </c>
      <c r="H164" t="s">
        <v>96</v>
      </c>
      <c r="I164" t="s">
        <v>70</v>
      </c>
      <c r="J164" t="s">
        <v>71</v>
      </c>
      <c r="K164" t="s">
        <v>72</v>
      </c>
      <c r="L164" t="s">
        <v>68</v>
      </c>
      <c r="M164" t="s">
        <v>68</v>
      </c>
    </row>
    <row r="165" spans="1:13">
      <c r="A165">
        <v>132</v>
      </c>
      <c r="B165" t="s">
        <v>221</v>
      </c>
      <c r="C165" t="s">
        <v>86</v>
      </c>
      <c r="D165" t="s">
        <v>87</v>
      </c>
      <c r="E165" t="s">
        <v>68</v>
      </c>
      <c r="F165" t="s">
        <v>68</v>
      </c>
      <c r="G165" t="s">
        <v>210</v>
      </c>
      <c r="H165" t="s">
        <v>96</v>
      </c>
      <c r="I165" t="s">
        <v>70</v>
      </c>
      <c r="J165" t="s">
        <v>71</v>
      </c>
      <c r="K165" t="s">
        <v>72</v>
      </c>
      <c r="L165" t="s">
        <v>68</v>
      </c>
      <c r="M165" t="s">
        <v>68</v>
      </c>
    </row>
    <row r="166" spans="1:13">
      <c r="A166">
        <v>133</v>
      </c>
      <c r="B166" t="s">
        <v>222</v>
      </c>
      <c r="C166" s="2">
        <v>2</v>
      </c>
      <c r="D166" t="s">
        <v>91</v>
      </c>
      <c r="E166" t="s">
        <v>68</v>
      </c>
      <c r="F166" t="s">
        <v>68</v>
      </c>
      <c r="G166" t="s">
        <v>210</v>
      </c>
      <c r="H166" t="s">
        <v>96</v>
      </c>
      <c r="I166" t="s">
        <v>70</v>
      </c>
      <c r="J166" t="s">
        <v>71</v>
      </c>
      <c r="K166" t="s">
        <v>72</v>
      </c>
      <c r="L166" t="s">
        <v>68</v>
      </c>
      <c r="M166" t="s">
        <v>68</v>
      </c>
    </row>
    <row r="167" spans="1:13">
      <c r="A167">
        <v>134</v>
      </c>
      <c r="B167" t="s">
        <v>223</v>
      </c>
      <c r="C167" s="2">
        <v>2</v>
      </c>
      <c r="D167" t="s">
        <v>91</v>
      </c>
      <c r="E167" t="s">
        <v>68</v>
      </c>
      <c r="F167" t="s">
        <v>68</v>
      </c>
      <c r="G167" t="s">
        <v>210</v>
      </c>
      <c r="H167" t="s">
        <v>96</v>
      </c>
      <c r="I167" t="s">
        <v>70</v>
      </c>
      <c r="J167" t="s">
        <v>71</v>
      </c>
      <c r="K167" t="s">
        <v>72</v>
      </c>
      <c r="L167" t="s">
        <v>68</v>
      </c>
      <c r="M167" t="s">
        <v>68</v>
      </c>
    </row>
    <row r="168" spans="1:13">
      <c r="A168">
        <v>135</v>
      </c>
      <c r="B168" t="s">
        <v>224</v>
      </c>
      <c r="C168" s="2">
        <v>2</v>
      </c>
      <c r="D168" t="s">
        <v>91</v>
      </c>
      <c r="E168" t="s">
        <v>68</v>
      </c>
      <c r="F168" t="s">
        <v>68</v>
      </c>
      <c r="G168" t="s">
        <v>210</v>
      </c>
      <c r="H168" t="s">
        <v>96</v>
      </c>
      <c r="I168" t="s">
        <v>70</v>
      </c>
      <c r="J168" t="s">
        <v>71</v>
      </c>
      <c r="K168" t="s">
        <v>72</v>
      </c>
      <c r="L168" t="s">
        <v>68</v>
      </c>
      <c r="M168" t="s">
        <v>68</v>
      </c>
    </row>
    <row r="169" spans="1:13">
      <c r="A169">
        <v>136</v>
      </c>
      <c r="B169" t="s">
        <v>225</v>
      </c>
      <c r="C169" t="s">
        <v>95</v>
      </c>
      <c r="D169" t="s">
        <v>96</v>
      </c>
      <c r="E169" t="s">
        <v>68</v>
      </c>
      <c r="F169" t="s">
        <v>68</v>
      </c>
      <c r="G169" t="s">
        <v>210</v>
      </c>
      <c r="H169" t="s">
        <v>96</v>
      </c>
      <c r="I169" t="s">
        <v>70</v>
      </c>
      <c r="J169" t="s">
        <v>71</v>
      </c>
      <c r="K169" t="s">
        <v>72</v>
      </c>
      <c r="L169" t="s">
        <v>68</v>
      </c>
      <c r="M169" t="s">
        <v>68</v>
      </c>
    </row>
    <row r="170" spans="1:13">
      <c r="A170">
        <v>137</v>
      </c>
      <c r="B170" t="s">
        <v>226</v>
      </c>
      <c r="C170" t="s">
        <v>95</v>
      </c>
      <c r="D170" t="s">
        <v>96</v>
      </c>
      <c r="E170" t="s">
        <v>68</v>
      </c>
      <c r="F170" t="s">
        <v>68</v>
      </c>
      <c r="G170" t="s">
        <v>210</v>
      </c>
      <c r="H170" t="s">
        <v>96</v>
      </c>
      <c r="I170" t="s">
        <v>70</v>
      </c>
      <c r="J170" t="s">
        <v>71</v>
      </c>
      <c r="K170" t="s">
        <v>72</v>
      </c>
      <c r="L170" t="s">
        <v>68</v>
      </c>
      <c r="M170" t="s">
        <v>68</v>
      </c>
    </row>
    <row r="171" spans="1:13">
      <c r="A171">
        <v>138</v>
      </c>
      <c r="B171" t="s">
        <v>227</v>
      </c>
      <c r="C171" t="s">
        <v>95</v>
      </c>
      <c r="D171" t="s">
        <v>96</v>
      </c>
      <c r="E171" t="s">
        <v>68</v>
      </c>
      <c r="F171" t="s">
        <v>68</v>
      </c>
      <c r="G171" t="s">
        <v>210</v>
      </c>
      <c r="H171" t="s">
        <v>96</v>
      </c>
      <c r="I171" t="s">
        <v>70</v>
      </c>
      <c r="J171" t="s">
        <v>71</v>
      </c>
      <c r="K171" t="s">
        <v>72</v>
      </c>
      <c r="L171" t="s">
        <v>68</v>
      </c>
      <c r="M171" t="s">
        <v>68</v>
      </c>
    </row>
    <row r="172" spans="1:13">
      <c r="A172">
        <v>139</v>
      </c>
      <c r="B172" t="s">
        <v>228</v>
      </c>
      <c r="C172" t="s">
        <v>100</v>
      </c>
      <c r="D172" t="s">
        <v>101</v>
      </c>
      <c r="E172" t="s">
        <v>68</v>
      </c>
      <c r="F172" t="s">
        <v>68</v>
      </c>
      <c r="G172" t="s">
        <v>210</v>
      </c>
      <c r="H172" t="s">
        <v>96</v>
      </c>
      <c r="I172" t="s">
        <v>70</v>
      </c>
      <c r="J172" t="s">
        <v>71</v>
      </c>
      <c r="K172" t="s">
        <v>72</v>
      </c>
      <c r="L172" t="s">
        <v>68</v>
      </c>
      <c r="M172" t="s">
        <v>68</v>
      </c>
    </row>
    <row r="173" spans="1:13">
      <c r="A173">
        <v>140</v>
      </c>
      <c r="B173" t="s">
        <v>229</v>
      </c>
      <c r="C173" t="s">
        <v>100</v>
      </c>
      <c r="D173" t="s">
        <v>101</v>
      </c>
      <c r="E173" t="s">
        <v>68</v>
      </c>
      <c r="F173" t="s">
        <v>68</v>
      </c>
      <c r="G173" t="s">
        <v>210</v>
      </c>
      <c r="H173" t="s">
        <v>96</v>
      </c>
      <c r="I173" t="s">
        <v>70</v>
      </c>
      <c r="J173" t="s">
        <v>71</v>
      </c>
      <c r="K173" t="s">
        <v>72</v>
      </c>
      <c r="L173" t="s">
        <v>68</v>
      </c>
      <c r="M173" t="s">
        <v>68</v>
      </c>
    </row>
    <row r="174" spans="1:13">
      <c r="A174">
        <v>141</v>
      </c>
      <c r="B174" t="s">
        <v>230</v>
      </c>
      <c r="C174" t="s">
        <v>100</v>
      </c>
      <c r="D174" t="s">
        <v>101</v>
      </c>
      <c r="E174" t="s">
        <v>68</v>
      </c>
      <c r="F174" t="s">
        <v>68</v>
      </c>
      <c r="G174" t="s">
        <v>210</v>
      </c>
      <c r="H174" t="s">
        <v>96</v>
      </c>
      <c r="I174" t="s">
        <v>70</v>
      </c>
      <c r="J174" t="s">
        <v>71</v>
      </c>
      <c r="K174" t="s">
        <v>72</v>
      </c>
      <c r="L174" t="s">
        <v>68</v>
      </c>
      <c r="M174" t="s">
        <v>68</v>
      </c>
    </row>
    <row r="175" spans="1:13">
      <c r="A175">
        <v>142</v>
      </c>
      <c r="B175" t="s">
        <v>231</v>
      </c>
      <c r="C175" t="s">
        <v>105</v>
      </c>
      <c r="D175" t="s">
        <v>106</v>
      </c>
      <c r="E175" t="s">
        <v>68</v>
      </c>
      <c r="F175" t="s">
        <v>68</v>
      </c>
      <c r="G175" t="s">
        <v>210</v>
      </c>
      <c r="H175" t="s">
        <v>96</v>
      </c>
      <c r="I175" t="s">
        <v>70</v>
      </c>
      <c r="J175" t="s">
        <v>71</v>
      </c>
      <c r="K175" t="s">
        <v>72</v>
      </c>
      <c r="L175" t="s">
        <v>68</v>
      </c>
      <c r="M175" t="s">
        <v>68</v>
      </c>
    </row>
    <row r="176" spans="1:13">
      <c r="A176">
        <v>143</v>
      </c>
      <c r="B176" t="s">
        <v>232</v>
      </c>
      <c r="C176" t="s">
        <v>105</v>
      </c>
      <c r="D176" t="s">
        <v>106</v>
      </c>
      <c r="E176" t="s">
        <v>68</v>
      </c>
      <c r="F176" t="s">
        <v>68</v>
      </c>
      <c r="G176" t="s">
        <v>210</v>
      </c>
      <c r="H176" t="s">
        <v>96</v>
      </c>
      <c r="I176" t="s">
        <v>70</v>
      </c>
      <c r="J176" t="s">
        <v>71</v>
      </c>
      <c r="K176" t="s">
        <v>72</v>
      </c>
      <c r="L176" t="s">
        <v>68</v>
      </c>
      <c r="M176" t="s">
        <v>68</v>
      </c>
    </row>
    <row r="177" spans="1:13">
      <c r="A177">
        <v>144</v>
      </c>
      <c r="B177" t="s">
        <v>233</v>
      </c>
      <c r="C177" t="s">
        <v>105</v>
      </c>
      <c r="D177" t="s">
        <v>106</v>
      </c>
      <c r="E177" t="s">
        <v>68</v>
      </c>
      <c r="F177" t="s">
        <v>68</v>
      </c>
      <c r="G177" t="s">
        <v>210</v>
      </c>
      <c r="H177" t="s">
        <v>96</v>
      </c>
      <c r="I177" t="s">
        <v>70</v>
      </c>
      <c r="J177" t="s">
        <v>71</v>
      </c>
      <c r="K177" t="s">
        <v>72</v>
      </c>
      <c r="L177" t="s">
        <v>68</v>
      </c>
      <c r="M177" t="s">
        <v>68</v>
      </c>
    </row>
    <row r="178" spans="1:13">
      <c r="A178">
        <v>145</v>
      </c>
      <c r="B178" t="s">
        <v>234</v>
      </c>
      <c r="C178" s="2">
        <v>1</v>
      </c>
      <c r="D178" t="s">
        <v>67</v>
      </c>
      <c r="E178" t="s">
        <v>68</v>
      </c>
      <c r="F178" t="s">
        <v>68</v>
      </c>
      <c r="G178" t="s">
        <v>235</v>
      </c>
      <c r="H178" t="s">
        <v>101</v>
      </c>
      <c r="I178" t="s">
        <v>70</v>
      </c>
      <c r="J178" t="s">
        <v>71</v>
      </c>
      <c r="K178" t="s">
        <v>72</v>
      </c>
      <c r="L178" t="s">
        <v>68</v>
      </c>
      <c r="M178" t="s">
        <v>68</v>
      </c>
    </row>
    <row r="179" spans="1:13">
      <c r="A179">
        <v>146</v>
      </c>
      <c r="B179" t="s">
        <v>236</v>
      </c>
      <c r="C179" s="2">
        <v>1</v>
      </c>
      <c r="D179" t="s">
        <v>67</v>
      </c>
      <c r="E179" t="s">
        <v>68</v>
      </c>
      <c r="F179" t="s">
        <v>68</v>
      </c>
      <c r="G179" t="s">
        <v>235</v>
      </c>
      <c r="H179" t="s">
        <v>101</v>
      </c>
      <c r="I179" t="s">
        <v>70</v>
      </c>
      <c r="J179" t="s">
        <v>71</v>
      </c>
      <c r="K179" t="s">
        <v>72</v>
      </c>
      <c r="L179" t="s">
        <v>68</v>
      </c>
      <c r="M179" t="s">
        <v>68</v>
      </c>
    </row>
    <row r="180" spans="1:13">
      <c r="A180">
        <v>147</v>
      </c>
      <c r="B180" t="s">
        <v>237</v>
      </c>
      <c r="C180" s="2">
        <v>1</v>
      </c>
      <c r="D180" t="s">
        <v>67</v>
      </c>
      <c r="E180" t="s">
        <v>68</v>
      </c>
      <c r="F180" t="s">
        <v>68</v>
      </c>
      <c r="G180" t="s">
        <v>235</v>
      </c>
      <c r="H180" t="s">
        <v>101</v>
      </c>
      <c r="I180" t="s">
        <v>70</v>
      </c>
      <c r="J180" t="s">
        <v>71</v>
      </c>
      <c r="K180" t="s">
        <v>72</v>
      </c>
      <c r="L180" t="s">
        <v>68</v>
      </c>
      <c r="M180" t="s">
        <v>68</v>
      </c>
    </row>
    <row r="181" spans="1:13">
      <c r="A181">
        <v>148</v>
      </c>
      <c r="B181" t="s">
        <v>238</v>
      </c>
      <c r="C181" t="s">
        <v>76</v>
      </c>
      <c r="D181" t="s">
        <v>77</v>
      </c>
      <c r="E181" t="s">
        <v>68</v>
      </c>
      <c r="F181" t="s">
        <v>68</v>
      </c>
      <c r="G181" t="s">
        <v>235</v>
      </c>
      <c r="H181" t="s">
        <v>101</v>
      </c>
      <c r="I181" t="s">
        <v>70</v>
      </c>
      <c r="J181" t="s">
        <v>71</v>
      </c>
      <c r="K181" t="s">
        <v>72</v>
      </c>
      <c r="L181" t="s">
        <v>68</v>
      </c>
      <c r="M181" t="s">
        <v>68</v>
      </c>
    </row>
    <row r="182" spans="1:13">
      <c r="A182">
        <v>149</v>
      </c>
      <c r="B182" t="s">
        <v>239</v>
      </c>
      <c r="C182" t="s">
        <v>76</v>
      </c>
      <c r="D182" t="s">
        <v>77</v>
      </c>
      <c r="E182" t="s">
        <v>68</v>
      </c>
      <c r="F182" t="s">
        <v>68</v>
      </c>
      <c r="G182" t="s">
        <v>235</v>
      </c>
      <c r="H182" t="s">
        <v>101</v>
      </c>
      <c r="I182" t="s">
        <v>70</v>
      </c>
      <c r="J182" t="s">
        <v>71</v>
      </c>
      <c r="K182" t="s">
        <v>72</v>
      </c>
      <c r="L182" t="s">
        <v>68</v>
      </c>
      <c r="M182" t="s">
        <v>68</v>
      </c>
    </row>
    <row r="183" spans="1:13">
      <c r="A183">
        <v>150</v>
      </c>
      <c r="B183" t="s">
        <v>240</v>
      </c>
      <c r="C183" t="s">
        <v>76</v>
      </c>
      <c r="D183" t="s">
        <v>77</v>
      </c>
      <c r="E183" t="s">
        <v>68</v>
      </c>
      <c r="F183" t="s">
        <v>68</v>
      </c>
      <c r="G183" t="s">
        <v>235</v>
      </c>
      <c r="H183" t="s">
        <v>101</v>
      </c>
      <c r="I183" t="s">
        <v>70</v>
      </c>
      <c r="J183" t="s">
        <v>71</v>
      </c>
      <c r="K183" t="s">
        <v>72</v>
      </c>
      <c r="L183" t="s">
        <v>68</v>
      </c>
      <c r="M183" t="s">
        <v>68</v>
      </c>
    </row>
    <row r="184" spans="1:13">
      <c r="A184">
        <v>151</v>
      </c>
      <c r="B184" t="s">
        <v>241</v>
      </c>
      <c r="C184" t="s">
        <v>81</v>
      </c>
      <c r="D184" t="s">
        <v>82</v>
      </c>
      <c r="E184" t="s">
        <v>68</v>
      </c>
      <c r="F184" t="s">
        <v>68</v>
      </c>
      <c r="G184" t="s">
        <v>235</v>
      </c>
      <c r="H184" t="s">
        <v>101</v>
      </c>
      <c r="I184" t="s">
        <v>70</v>
      </c>
      <c r="J184" t="s">
        <v>71</v>
      </c>
      <c r="K184" t="s">
        <v>72</v>
      </c>
      <c r="L184" t="s">
        <v>68</v>
      </c>
      <c r="M184" t="s">
        <v>68</v>
      </c>
    </row>
    <row r="185" spans="1:13">
      <c r="A185">
        <v>152</v>
      </c>
      <c r="B185" t="s">
        <v>242</v>
      </c>
      <c r="C185" t="s">
        <v>81</v>
      </c>
      <c r="D185" t="s">
        <v>82</v>
      </c>
      <c r="E185" t="s">
        <v>68</v>
      </c>
      <c r="F185" t="s">
        <v>68</v>
      </c>
      <c r="G185" t="s">
        <v>235</v>
      </c>
      <c r="H185" t="s">
        <v>101</v>
      </c>
      <c r="I185" t="s">
        <v>70</v>
      </c>
      <c r="J185" t="s">
        <v>71</v>
      </c>
      <c r="K185" t="s">
        <v>72</v>
      </c>
      <c r="L185" t="s">
        <v>68</v>
      </c>
      <c r="M185" t="s">
        <v>68</v>
      </c>
    </row>
    <row r="186" spans="1:13">
      <c r="A186">
        <v>153</v>
      </c>
      <c r="B186" t="s">
        <v>243</v>
      </c>
      <c r="C186" t="s">
        <v>81</v>
      </c>
      <c r="D186" t="s">
        <v>82</v>
      </c>
      <c r="E186" t="s">
        <v>68</v>
      </c>
      <c r="F186" t="s">
        <v>68</v>
      </c>
      <c r="G186" t="s">
        <v>235</v>
      </c>
      <c r="H186" t="s">
        <v>101</v>
      </c>
      <c r="I186" t="s">
        <v>70</v>
      </c>
      <c r="J186" t="s">
        <v>71</v>
      </c>
      <c r="K186" t="s">
        <v>72</v>
      </c>
      <c r="L186" t="s">
        <v>68</v>
      </c>
      <c r="M186" t="s">
        <v>68</v>
      </c>
    </row>
    <row r="187" spans="1:13">
      <c r="A187">
        <v>154</v>
      </c>
      <c r="B187" t="s">
        <v>244</v>
      </c>
      <c r="C187" t="s">
        <v>86</v>
      </c>
      <c r="D187" t="s">
        <v>87</v>
      </c>
      <c r="E187" t="s">
        <v>68</v>
      </c>
      <c r="F187" t="s">
        <v>68</v>
      </c>
      <c r="G187" t="s">
        <v>235</v>
      </c>
      <c r="H187" t="s">
        <v>101</v>
      </c>
      <c r="I187" t="s">
        <v>70</v>
      </c>
      <c r="J187" t="s">
        <v>71</v>
      </c>
      <c r="K187" t="s">
        <v>72</v>
      </c>
      <c r="L187" t="s">
        <v>68</v>
      </c>
      <c r="M187" t="s">
        <v>68</v>
      </c>
    </row>
    <row r="188" spans="1:13">
      <c r="A188">
        <v>155</v>
      </c>
      <c r="B188" t="s">
        <v>245</v>
      </c>
      <c r="C188" t="s">
        <v>86</v>
      </c>
      <c r="D188" t="s">
        <v>87</v>
      </c>
      <c r="E188" t="s">
        <v>68</v>
      </c>
      <c r="F188" t="s">
        <v>68</v>
      </c>
      <c r="G188" t="s">
        <v>235</v>
      </c>
      <c r="H188" t="s">
        <v>101</v>
      </c>
      <c r="I188" t="s">
        <v>70</v>
      </c>
      <c r="J188" t="s">
        <v>71</v>
      </c>
      <c r="K188" t="s">
        <v>72</v>
      </c>
      <c r="L188" t="s">
        <v>68</v>
      </c>
      <c r="M188" t="s">
        <v>68</v>
      </c>
    </row>
    <row r="189" spans="1:13">
      <c r="A189">
        <v>156</v>
      </c>
      <c r="B189" t="s">
        <v>246</v>
      </c>
      <c r="C189" t="s">
        <v>86</v>
      </c>
      <c r="D189" t="s">
        <v>87</v>
      </c>
      <c r="E189" t="s">
        <v>68</v>
      </c>
      <c r="F189" t="s">
        <v>68</v>
      </c>
      <c r="G189" t="s">
        <v>235</v>
      </c>
      <c r="H189" t="s">
        <v>101</v>
      </c>
      <c r="I189" t="s">
        <v>70</v>
      </c>
      <c r="J189" t="s">
        <v>71</v>
      </c>
      <c r="K189" t="s">
        <v>72</v>
      </c>
      <c r="L189" t="s">
        <v>68</v>
      </c>
      <c r="M189" t="s">
        <v>68</v>
      </c>
    </row>
    <row r="190" spans="1:13">
      <c r="A190">
        <v>157</v>
      </c>
      <c r="B190" t="s">
        <v>247</v>
      </c>
      <c r="C190" s="2">
        <v>2</v>
      </c>
      <c r="D190" t="s">
        <v>91</v>
      </c>
      <c r="E190" t="s">
        <v>68</v>
      </c>
      <c r="F190" t="s">
        <v>68</v>
      </c>
      <c r="G190" t="s">
        <v>235</v>
      </c>
      <c r="H190" t="s">
        <v>101</v>
      </c>
      <c r="I190" t="s">
        <v>70</v>
      </c>
      <c r="J190" t="s">
        <v>71</v>
      </c>
      <c r="K190" t="s">
        <v>72</v>
      </c>
      <c r="L190" t="s">
        <v>68</v>
      </c>
      <c r="M190" t="s">
        <v>68</v>
      </c>
    </row>
    <row r="191" spans="1:13">
      <c r="A191">
        <v>158</v>
      </c>
      <c r="B191" t="s">
        <v>248</v>
      </c>
      <c r="C191" s="2">
        <v>2</v>
      </c>
      <c r="D191" t="s">
        <v>91</v>
      </c>
      <c r="E191" t="s">
        <v>68</v>
      </c>
      <c r="F191" t="s">
        <v>68</v>
      </c>
      <c r="G191" t="s">
        <v>235</v>
      </c>
      <c r="H191" t="s">
        <v>101</v>
      </c>
      <c r="I191" t="s">
        <v>70</v>
      </c>
      <c r="J191" t="s">
        <v>71</v>
      </c>
      <c r="K191" t="s">
        <v>72</v>
      </c>
      <c r="L191" t="s">
        <v>68</v>
      </c>
      <c r="M191" t="s">
        <v>68</v>
      </c>
    </row>
    <row r="192" spans="1:13">
      <c r="A192">
        <v>159</v>
      </c>
      <c r="B192" t="s">
        <v>249</v>
      </c>
      <c r="C192" s="2">
        <v>2</v>
      </c>
      <c r="D192" t="s">
        <v>91</v>
      </c>
      <c r="E192" t="s">
        <v>68</v>
      </c>
      <c r="F192" t="s">
        <v>68</v>
      </c>
      <c r="G192" t="s">
        <v>235</v>
      </c>
      <c r="H192" t="s">
        <v>101</v>
      </c>
      <c r="I192" t="s">
        <v>70</v>
      </c>
      <c r="J192" t="s">
        <v>71</v>
      </c>
      <c r="K192" t="s">
        <v>72</v>
      </c>
      <c r="L192" t="s">
        <v>68</v>
      </c>
      <c r="M192" t="s">
        <v>68</v>
      </c>
    </row>
    <row r="193" spans="1:13">
      <c r="A193">
        <v>160</v>
      </c>
      <c r="B193" t="s">
        <v>250</v>
      </c>
      <c r="C193" t="s">
        <v>95</v>
      </c>
      <c r="D193" t="s">
        <v>96</v>
      </c>
      <c r="E193" t="s">
        <v>68</v>
      </c>
      <c r="F193" t="s">
        <v>68</v>
      </c>
      <c r="G193" t="s">
        <v>235</v>
      </c>
      <c r="H193" t="s">
        <v>101</v>
      </c>
      <c r="I193" t="s">
        <v>70</v>
      </c>
      <c r="J193" t="s">
        <v>71</v>
      </c>
      <c r="K193" t="s">
        <v>72</v>
      </c>
      <c r="L193" t="s">
        <v>68</v>
      </c>
      <c r="M193" t="s">
        <v>68</v>
      </c>
    </row>
    <row r="194" spans="1:13">
      <c r="A194">
        <v>161</v>
      </c>
      <c r="B194" t="s">
        <v>251</v>
      </c>
      <c r="C194" t="s">
        <v>95</v>
      </c>
      <c r="D194" t="s">
        <v>96</v>
      </c>
      <c r="E194" t="s">
        <v>68</v>
      </c>
      <c r="F194" t="s">
        <v>68</v>
      </c>
      <c r="G194" t="s">
        <v>235</v>
      </c>
      <c r="H194" t="s">
        <v>101</v>
      </c>
      <c r="I194" t="s">
        <v>70</v>
      </c>
      <c r="J194" t="s">
        <v>71</v>
      </c>
      <c r="K194" t="s">
        <v>72</v>
      </c>
      <c r="L194" t="s">
        <v>68</v>
      </c>
      <c r="M194" t="s">
        <v>68</v>
      </c>
    </row>
    <row r="195" spans="1:13">
      <c r="A195">
        <v>162</v>
      </c>
      <c r="B195" t="s">
        <v>252</v>
      </c>
      <c r="C195" t="s">
        <v>95</v>
      </c>
      <c r="D195" t="s">
        <v>96</v>
      </c>
      <c r="E195" t="s">
        <v>68</v>
      </c>
      <c r="F195" t="s">
        <v>68</v>
      </c>
      <c r="G195" t="s">
        <v>235</v>
      </c>
      <c r="H195" t="s">
        <v>101</v>
      </c>
      <c r="I195" t="s">
        <v>70</v>
      </c>
      <c r="J195" t="s">
        <v>71</v>
      </c>
      <c r="K195" t="s">
        <v>72</v>
      </c>
      <c r="L195" t="s">
        <v>68</v>
      </c>
      <c r="M195" t="s">
        <v>68</v>
      </c>
    </row>
    <row r="196" spans="1:13">
      <c r="A196">
        <v>163</v>
      </c>
      <c r="B196" t="s">
        <v>253</v>
      </c>
      <c r="C196" t="s">
        <v>100</v>
      </c>
      <c r="D196" t="s">
        <v>101</v>
      </c>
      <c r="E196" t="s">
        <v>68</v>
      </c>
      <c r="F196" t="s">
        <v>68</v>
      </c>
      <c r="G196" t="s">
        <v>235</v>
      </c>
      <c r="H196" t="s">
        <v>101</v>
      </c>
      <c r="I196" t="s">
        <v>70</v>
      </c>
      <c r="J196" t="s">
        <v>71</v>
      </c>
      <c r="K196" t="s">
        <v>72</v>
      </c>
      <c r="L196" t="s">
        <v>68</v>
      </c>
      <c r="M196" t="s">
        <v>68</v>
      </c>
    </row>
    <row r="197" spans="1:13">
      <c r="A197">
        <v>164</v>
      </c>
      <c r="B197" t="s">
        <v>254</v>
      </c>
      <c r="C197" t="s">
        <v>100</v>
      </c>
      <c r="D197" t="s">
        <v>101</v>
      </c>
      <c r="E197" t="s">
        <v>68</v>
      </c>
      <c r="F197" t="s">
        <v>68</v>
      </c>
      <c r="G197" t="s">
        <v>235</v>
      </c>
      <c r="H197" t="s">
        <v>101</v>
      </c>
      <c r="I197" t="s">
        <v>70</v>
      </c>
      <c r="J197" t="s">
        <v>71</v>
      </c>
      <c r="K197" t="s">
        <v>72</v>
      </c>
      <c r="L197" t="s">
        <v>68</v>
      </c>
      <c r="M197" t="s">
        <v>68</v>
      </c>
    </row>
    <row r="198" spans="1:13">
      <c r="A198">
        <v>165</v>
      </c>
      <c r="B198" t="s">
        <v>255</v>
      </c>
      <c r="C198" t="s">
        <v>100</v>
      </c>
      <c r="D198" t="s">
        <v>101</v>
      </c>
      <c r="E198" t="s">
        <v>68</v>
      </c>
      <c r="F198" t="s">
        <v>68</v>
      </c>
      <c r="G198" t="s">
        <v>235</v>
      </c>
      <c r="H198" t="s">
        <v>101</v>
      </c>
      <c r="I198" t="s">
        <v>70</v>
      </c>
      <c r="J198" t="s">
        <v>71</v>
      </c>
      <c r="K198" t="s">
        <v>72</v>
      </c>
      <c r="L198" t="s">
        <v>68</v>
      </c>
      <c r="M198" t="s">
        <v>68</v>
      </c>
    </row>
    <row r="199" spans="1:13">
      <c r="A199">
        <v>166</v>
      </c>
      <c r="B199" t="s">
        <v>256</v>
      </c>
      <c r="C199" t="s">
        <v>105</v>
      </c>
      <c r="D199" t="s">
        <v>106</v>
      </c>
      <c r="E199" t="s">
        <v>68</v>
      </c>
      <c r="F199" t="s">
        <v>68</v>
      </c>
      <c r="G199" t="s">
        <v>235</v>
      </c>
      <c r="H199" t="s">
        <v>101</v>
      </c>
      <c r="I199" t="s">
        <v>70</v>
      </c>
      <c r="J199" t="s">
        <v>71</v>
      </c>
      <c r="K199" t="s">
        <v>72</v>
      </c>
      <c r="L199" t="s">
        <v>68</v>
      </c>
      <c r="M199" t="s">
        <v>68</v>
      </c>
    </row>
    <row r="200" spans="1:13">
      <c r="A200">
        <v>167</v>
      </c>
      <c r="B200" t="s">
        <v>257</v>
      </c>
      <c r="C200" t="s">
        <v>105</v>
      </c>
      <c r="D200" t="s">
        <v>106</v>
      </c>
      <c r="E200" t="s">
        <v>68</v>
      </c>
      <c r="F200" t="s">
        <v>68</v>
      </c>
      <c r="G200" t="s">
        <v>235</v>
      </c>
      <c r="H200" t="s">
        <v>101</v>
      </c>
      <c r="I200" t="s">
        <v>70</v>
      </c>
      <c r="J200" t="s">
        <v>71</v>
      </c>
      <c r="K200" t="s">
        <v>72</v>
      </c>
      <c r="L200" t="s">
        <v>68</v>
      </c>
      <c r="M200" t="s">
        <v>68</v>
      </c>
    </row>
    <row r="201" spans="1:13">
      <c r="A201">
        <v>168</v>
      </c>
      <c r="B201" t="s">
        <v>258</v>
      </c>
      <c r="C201" t="s">
        <v>105</v>
      </c>
      <c r="D201" t="s">
        <v>106</v>
      </c>
      <c r="E201" t="s">
        <v>68</v>
      </c>
      <c r="F201" t="s">
        <v>68</v>
      </c>
      <c r="G201" t="s">
        <v>235</v>
      </c>
      <c r="H201" t="s">
        <v>101</v>
      </c>
      <c r="I201" t="s">
        <v>70</v>
      </c>
      <c r="J201" t="s">
        <v>71</v>
      </c>
      <c r="K201" t="s">
        <v>72</v>
      </c>
      <c r="L201" t="s">
        <v>68</v>
      </c>
      <c r="M201" t="s">
        <v>68</v>
      </c>
    </row>
    <row r="202" spans="1:13">
      <c r="A202">
        <v>169</v>
      </c>
      <c r="B202" t="s">
        <v>259</v>
      </c>
      <c r="C202" s="2">
        <v>1</v>
      </c>
      <c r="D202" t="s">
        <v>67</v>
      </c>
      <c r="E202" t="s">
        <v>68</v>
      </c>
      <c r="F202" t="s">
        <v>68</v>
      </c>
      <c r="G202" t="s">
        <v>260</v>
      </c>
      <c r="H202" t="s">
        <v>106</v>
      </c>
      <c r="I202" t="s">
        <v>70</v>
      </c>
      <c r="J202" t="s">
        <v>71</v>
      </c>
      <c r="K202" t="s">
        <v>72</v>
      </c>
      <c r="L202" t="s">
        <v>68</v>
      </c>
      <c r="M202" t="s">
        <v>68</v>
      </c>
    </row>
    <row r="203" spans="1:13">
      <c r="A203">
        <v>170</v>
      </c>
      <c r="B203" t="s">
        <v>261</v>
      </c>
      <c r="C203" s="2">
        <v>1</v>
      </c>
      <c r="D203" t="s">
        <v>67</v>
      </c>
      <c r="E203" t="s">
        <v>68</v>
      </c>
      <c r="F203" t="s">
        <v>68</v>
      </c>
      <c r="G203" t="s">
        <v>260</v>
      </c>
      <c r="H203" t="s">
        <v>106</v>
      </c>
      <c r="I203" t="s">
        <v>70</v>
      </c>
      <c r="J203" t="s">
        <v>71</v>
      </c>
      <c r="K203" t="s">
        <v>72</v>
      </c>
      <c r="L203" t="s">
        <v>68</v>
      </c>
      <c r="M203" t="s">
        <v>68</v>
      </c>
    </row>
    <row r="204" spans="1:13">
      <c r="A204">
        <v>171</v>
      </c>
      <c r="B204" t="s">
        <v>262</v>
      </c>
      <c r="C204" s="2">
        <v>1</v>
      </c>
      <c r="D204" t="s">
        <v>67</v>
      </c>
      <c r="E204" t="s">
        <v>68</v>
      </c>
      <c r="F204" t="s">
        <v>68</v>
      </c>
      <c r="G204" t="s">
        <v>260</v>
      </c>
      <c r="H204" t="s">
        <v>106</v>
      </c>
      <c r="I204" t="s">
        <v>70</v>
      </c>
      <c r="J204" t="s">
        <v>71</v>
      </c>
      <c r="K204" t="s">
        <v>72</v>
      </c>
      <c r="L204" t="s">
        <v>68</v>
      </c>
      <c r="M204" t="s">
        <v>68</v>
      </c>
    </row>
    <row r="205" spans="1:13">
      <c r="A205">
        <v>172</v>
      </c>
      <c r="B205" t="s">
        <v>263</v>
      </c>
      <c r="C205" t="s">
        <v>76</v>
      </c>
      <c r="D205" t="s">
        <v>77</v>
      </c>
      <c r="E205" t="s">
        <v>68</v>
      </c>
      <c r="F205" t="s">
        <v>68</v>
      </c>
      <c r="G205" t="s">
        <v>260</v>
      </c>
      <c r="H205" t="s">
        <v>106</v>
      </c>
      <c r="I205" t="s">
        <v>70</v>
      </c>
      <c r="J205" t="s">
        <v>71</v>
      </c>
      <c r="K205" t="s">
        <v>72</v>
      </c>
      <c r="L205" t="s">
        <v>68</v>
      </c>
      <c r="M205" t="s">
        <v>68</v>
      </c>
    </row>
    <row r="206" spans="1:13">
      <c r="A206">
        <v>173</v>
      </c>
      <c r="B206" t="s">
        <v>264</v>
      </c>
      <c r="C206" t="s">
        <v>76</v>
      </c>
      <c r="D206" t="s">
        <v>77</v>
      </c>
      <c r="E206" t="s">
        <v>68</v>
      </c>
      <c r="F206" t="s">
        <v>68</v>
      </c>
      <c r="G206" t="s">
        <v>260</v>
      </c>
      <c r="H206" t="s">
        <v>106</v>
      </c>
      <c r="I206" t="s">
        <v>70</v>
      </c>
      <c r="J206" t="s">
        <v>71</v>
      </c>
      <c r="K206" t="s">
        <v>72</v>
      </c>
      <c r="L206" t="s">
        <v>68</v>
      </c>
      <c r="M206" t="s">
        <v>68</v>
      </c>
    </row>
    <row r="207" spans="1:13">
      <c r="A207">
        <v>174</v>
      </c>
      <c r="B207" t="s">
        <v>265</v>
      </c>
      <c r="C207" t="s">
        <v>76</v>
      </c>
      <c r="D207" t="s">
        <v>77</v>
      </c>
      <c r="E207" t="s">
        <v>68</v>
      </c>
      <c r="F207" t="s">
        <v>68</v>
      </c>
      <c r="G207" t="s">
        <v>260</v>
      </c>
      <c r="H207" t="s">
        <v>106</v>
      </c>
      <c r="I207" t="s">
        <v>70</v>
      </c>
      <c r="J207" t="s">
        <v>71</v>
      </c>
      <c r="K207" t="s">
        <v>72</v>
      </c>
      <c r="L207" t="s">
        <v>68</v>
      </c>
      <c r="M207" t="s">
        <v>68</v>
      </c>
    </row>
    <row r="208" spans="1:13">
      <c r="A208">
        <v>175</v>
      </c>
      <c r="B208" t="s">
        <v>266</v>
      </c>
      <c r="C208" t="s">
        <v>81</v>
      </c>
      <c r="D208" t="s">
        <v>82</v>
      </c>
      <c r="E208" t="s">
        <v>68</v>
      </c>
      <c r="F208" t="s">
        <v>68</v>
      </c>
      <c r="G208" t="s">
        <v>260</v>
      </c>
      <c r="H208" t="s">
        <v>106</v>
      </c>
      <c r="I208" t="s">
        <v>70</v>
      </c>
      <c r="J208" t="s">
        <v>71</v>
      </c>
      <c r="K208" t="s">
        <v>72</v>
      </c>
      <c r="L208" t="s">
        <v>68</v>
      </c>
      <c r="M208" t="s">
        <v>68</v>
      </c>
    </row>
    <row r="209" spans="1:13">
      <c r="A209">
        <v>176</v>
      </c>
      <c r="B209" t="s">
        <v>267</v>
      </c>
      <c r="C209" t="s">
        <v>81</v>
      </c>
      <c r="D209" t="s">
        <v>82</v>
      </c>
      <c r="E209" t="s">
        <v>68</v>
      </c>
      <c r="F209" t="s">
        <v>68</v>
      </c>
      <c r="G209" t="s">
        <v>260</v>
      </c>
      <c r="H209" t="s">
        <v>106</v>
      </c>
      <c r="I209" t="s">
        <v>70</v>
      </c>
      <c r="J209" t="s">
        <v>71</v>
      </c>
      <c r="K209" t="s">
        <v>72</v>
      </c>
      <c r="L209" t="s">
        <v>68</v>
      </c>
      <c r="M209" t="s">
        <v>68</v>
      </c>
    </row>
    <row r="210" spans="1:13">
      <c r="A210">
        <v>177</v>
      </c>
      <c r="B210" t="s">
        <v>268</v>
      </c>
      <c r="C210" t="s">
        <v>81</v>
      </c>
      <c r="D210" t="s">
        <v>82</v>
      </c>
      <c r="E210" t="s">
        <v>68</v>
      </c>
      <c r="F210" t="s">
        <v>68</v>
      </c>
      <c r="G210" t="s">
        <v>260</v>
      </c>
      <c r="H210" t="s">
        <v>106</v>
      </c>
      <c r="I210" t="s">
        <v>70</v>
      </c>
      <c r="J210" t="s">
        <v>71</v>
      </c>
      <c r="K210" t="s">
        <v>72</v>
      </c>
      <c r="L210" t="s">
        <v>68</v>
      </c>
      <c r="M210" t="s">
        <v>68</v>
      </c>
    </row>
    <row r="211" spans="1:13">
      <c r="A211">
        <v>178</v>
      </c>
      <c r="B211" t="s">
        <v>269</v>
      </c>
      <c r="C211" t="s">
        <v>86</v>
      </c>
      <c r="D211" t="s">
        <v>87</v>
      </c>
      <c r="E211" t="s">
        <v>68</v>
      </c>
      <c r="F211" t="s">
        <v>68</v>
      </c>
      <c r="G211" t="s">
        <v>260</v>
      </c>
      <c r="H211" t="s">
        <v>106</v>
      </c>
      <c r="I211" t="s">
        <v>70</v>
      </c>
      <c r="J211" t="s">
        <v>71</v>
      </c>
      <c r="K211" t="s">
        <v>72</v>
      </c>
      <c r="L211" t="s">
        <v>68</v>
      </c>
      <c r="M211" t="s">
        <v>68</v>
      </c>
    </row>
    <row r="212" spans="1:13">
      <c r="A212">
        <v>179</v>
      </c>
      <c r="B212" t="s">
        <v>270</v>
      </c>
      <c r="C212" t="s">
        <v>86</v>
      </c>
      <c r="D212" t="s">
        <v>87</v>
      </c>
      <c r="E212" t="s">
        <v>68</v>
      </c>
      <c r="F212" t="s">
        <v>68</v>
      </c>
      <c r="G212" t="s">
        <v>260</v>
      </c>
      <c r="H212" t="s">
        <v>106</v>
      </c>
      <c r="I212" t="s">
        <v>70</v>
      </c>
      <c r="J212" t="s">
        <v>71</v>
      </c>
      <c r="K212" t="s">
        <v>72</v>
      </c>
      <c r="L212" t="s">
        <v>68</v>
      </c>
      <c r="M212" t="s">
        <v>68</v>
      </c>
    </row>
    <row r="213" spans="1:13">
      <c r="A213">
        <v>180</v>
      </c>
      <c r="B213" t="s">
        <v>271</v>
      </c>
      <c r="C213" t="s">
        <v>86</v>
      </c>
      <c r="D213" t="s">
        <v>87</v>
      </c>
      <c r="E213" t="s">
        <v>68</v>
      </c>
      <c r="F213" t="s">
        <v>68</v>
      </c>
      <c r="G213" t="s">
        <v>260</v>
      </c>
      <c r="H213" t="s">
        <v>106</v>
      </c>
      <c r="I213" t="s">
        <v>70</v>
      </c>
      <c r="J213" t="s">
        <v>71</v>
      </c>
      <c r="K213" t="s">
        <v>72</v>
      </c>
      <c r="L213" t="s">
        <v>68</v>
      </c>
      <c r="M213" t="s">
        <v>68</v>
      </c>
    </row>
    <row r="214" spans="1:13">
      <c r="A214">
        <v>181</v>
      </c>
      <c r="B214" t="s">
        <v>272</v>
      </c>
      <c r="C214" s="2">
        <v>2</v>
      </c>
      <c r="D214" t="s">
        <v>91</v>
      </c>
      <c r="E214" t="s">
        <v>68</v>
      </c>
      <c r="F214" t="s">
        <v>68</v>
      </c>
      <c r="G214" t="s">
        <v>260</v>
      </c>
      <c r="H214" t="s">
        <v>106</v>
      </c>
      <c r="I214" t="s">
        <v>70</v>
      </c>
      <c r="J214" t="s">
        <v>71</v>
      </c>
      <c r="K214" t="s">
        <v>72</v>
      </c>
      <c r="L214" t="s">
        <v>68</v>
      </c>
      <c r="M214" t="s">
        <v>68</v>
      </c>
    </row>
    <row r="215" spans="1:13">
      <c r="A215">
        <v>182</v>
      </c>
      <c r="B215" t="s">
        <v>273</v>
      </c>
      <c r="C215" s="2">
        <v>2</v>
      </c>
      <c r="D215" t="s">
        <v>91</v>
      </c>
      <c r="E215" t="s">
        <v>68</v>
      </c>
      <c r="F215" t="s">
        <v>68</v>
      </c>
      <c r="G215" t="s">
        <v>260</v>
      </c>
      <c r="H215" t="s">
        <v>106</v>
      </c>
      <c r="I215" t="s">
        <v>70</v>
      </c>
      <c r="J215" t="s">
        <v>71</v>
      </c>
      <c r="K215" t="s">
        <v>72</v>
      </c>
      <c r="L215" t="s">
        <v>68</v>
      </c>
      <c r="M215" t="s">
        <v>68</v>
      </c>
    </row>
    <row r="216" spans="1:13">
      <c r="A216">
        <v>183</v>
      </c>
      <c r="B216" t="s">
        <v>274</v>
      </c>
      <c r="C216" s="2">
        <v>2</v>
      </c>
      <c r="D216" t="s">
        <v>91</v>
      </c>
      <c r="E216" t="s">
        <v>68</v>
      </c>
      <c r="F216" t="s">
        <v>68</v>
      </c>
      <c r="G216" t="s">
        <v>260</v>
      </c>
      <c r="H216" t="s">
        <v>106</v>
      </c>
      <c r="I216" t="s">
        <v>70</v>
      </c>
      <c r="J216" t="s">
        <v>71</v>
      </c>
      <c r="K216" t="s">
        <v>72</v>
      </c>
      <c r="L216" t="s">
        <v>68</v>
      </c>
      <c r="M216" t="s">
        <v>68</v>
      </c>
    </row>
    <row r="217" spans="1:13">
      <c r="A217">
        <v>184</v>
      </c>
      <c r="B217" t="s">
        <v>275</v>
      </c>
      <c r="C217" t="s">
        <v>95</v>
      </c>
      <c r="D217" t="s">
        <v>96</v>
      </c>
      <c r="E217" t="s">
        <v>68</v>
      </c>
      <c r="F217" t="s">
        <v>68</v>
      </c>
      <c r="G217" t="s">
        <v>260</v>
      </c>
      <c r="H217" t="s">
        <v>106</v>
      </c>
      <c r="I217" t="s">
        <v>70</v>
      </c>
      <c r="J217" t="s">
        <v>71</v>
      </c>
      <c r="K217" t="s">
        <v>72</v>
      </c>
      <c r="L217" t="s">
        <v>68</v>
      </c>
      <c r="M217" t="s">
        <v>68</v>
      </c>
    </row>
    <row r="218" spans="1:13">
      <c r="A218">
        <v>185</v>
      </c>
      <c r="B218" t="s">
        <v>276</v>
      </c>
      <c r="C218" t="s">
        <v>95</v>
      </c>
      <c r="D218" t="s">
        <v>96</v>
      </c>
      <c r="E218" t="s">
        <v>68</v>
      </c>
      <c r="F218" t="s">
        <v>68</v>
      </c>
      <c r="G218" t="s">
        <v>260</v>
      </c>
      <c r="H218" t="s">
        <v>106</v>
      </c>
      <c r="I218" t="s">
        <v>70</v>
      </c>
      <c r="J218" t="s">
        <v>71</v>
      </c>
      <c r="K218" t="s">
        <v>72</v>
      </c>
      <c r="L218" t="s">
        <v>68</v>
      </c>
      <c r="M218" t="s">
        <v>68</v>
      </c>
    </row>
    <row r="219" spans="1:13">
      <c r="A219">
        <v>186</v>
      </c>
      <c r="B219" t="s">
        <v>277</v>
      </c>
      <c r="C219" t="s">
        <v>95</v>
      </c>
      <c r="D219" t="s">
        <v>96</v>
      </c>
      <c r="E219" t="s">
        <v>68</v>
      </c>
      <c r="F219" t="s">
        <v>68</v>
      </c>
      <c r="G219" t="s">
        <v>260</v>
      </c>
      <c r="H219" t="s">
        <v>106</v>
      </c>
      <c r="I219" t="s">
        <v>70</v>
      </c>
      <c r="J219" t="s">
        <v>71</v>
      </c>
      <c r="K219" t="s">
        <v>72</v>
      </c>
      <c r="L219" t="s">
        <v>68</v>
      </c>
      <c r="M219" t="s">
        <v>68</v>
      </c>
    </row>
    <row r="220" spans="1:13">
      <c r="A220">
        <v>187</v>
      </c>
      <c r="B220" t="s">
        <v>278</v>
      </c>
      <c r="C220" t="s">
        <v>100</v>
      </c>
      <c r="D220" t="s">
        <v>101</v>
      </c>
      <c r="E220" t="s">
        <v>68</v>
      </c>
      <c r="F220" t="s">
        <v>68</v>
      </c>
      <c r="G220" t="s">
        <v>260</v>
      </c>
      <c r="H220" t="s">
        <v>106</v>
      </c>
      <c r="I220" t="s">
        <v>70</v>
      </c>
      <c r="J220" t="s">
        <v>71</v>
      </c>
      <c r="K220" t="s">
        <v>72</v>
      </c>
      <c r="L220" t="s">
        <v>68</v>
      </c>
      <c r="M220" t="s">
        <v>68</v>
      </c>
    </row>
    <row r="221" spans="1:13">
      <c r="A221">
        <v>188</v>
      </c>
      <c r="B221" t="s">
        <v>279</v>
      </c>
      <c r="C221" t="s">
        <v>100</v>
      </c>
      <c r="D221" t="s">
        <v>101</v>
      </c>
      <c r="E221" t="s">
        <v>68</v>
      </c>
      <c r="F221" t="s">
        <v>68</v>
      </c>
      <c r="G221" t="s">
        <v>260</v>
      </c>
      <c r="H221" t="s">
        <v>106</v>
      </c>
      <c r="I221" t="s">
        <v>70</v>
      </c>
      <c r="J221" t="s">
        <v>71</v>
      </c>
      <c r="K221" t="s">
        <v>72</v>
      </c>
      <c r="L221" t="s">
        <v>68</v>
      </c>
      <c r="M221" t="s">
        <v>68</v>
      </c>
    </row>
    <row r="222" spans="1:13">
      <c r="A222">
        <v>189</v>
      </c>
      <c r="B222" t="s">
        <v>280</v>
      </c>
      <c r="C222" t="s">
        <v>100</v>
      </c>
      <c r="D222" t="s">
        <v>101</v>
      </c>
      <c r="E222" t="s">
        <v>68</v>
      </c>
      <c r="F222" t="s">
        <v>68</v>
      </c>
      <c r="G222" t="s">
        <v>260</v>
      </c>
      <c r="H222" t="s">
        <v>106</v>
      </c>
      <c r="I222" t="s">
        <v>70</v>
      </c>
      <c r="J222" t="s">
        <v>71</v>
      </c>
      <c r="K222" t="s">
        <v>72</v>
      </c>
      <c r="L222" t="s">
        <v>68</v>
      </c>
      <c r="M222" t="s">
        <v>68</v>
      </c>
    </row>
    <row r="223" spans="1:13">
      <c r="A223">
        <v>190</v>
      </c>
      <c r="B223" t="s">
        <v>281</v>
      </c>
      <c r="C223" t="s">
        <v>105</v>
      </c>
      <c r="D223" t="s">
        <v>106</v>
      </c>
      <c r="E223" t="s">
        <v>68</v>
      </c>
      <c r="F223" t="s">
        <v>68</v>
      </c>
      <c r="G223" t="s">
        <v>260</v>
      </c>
      <c r="H223" t="s">
        <v>106</v>
      </c>
      <c r="I223" t="s">
        <v>70</v>
      </c>
      <c r="J223" t="s">
        <v>71</v>
      </c>
      <c r="K223" t="s">
        <v>72</v>
      </c>
      <c r="L223" t="s">
        <v>68</v>
      </c>
      <c r="M223" t="s">
        <v>68</v>
      </c>
    </row>
    <row r="224" spans="1:13">
      <c r="A224">
        <v>191</v>
      </c>
      <c r="B224" t="s">
        <v>282</v>
      </c>
      <c r="C224" t="s">
        <v>105</v>
      </c>
      <c r="D224" t="s">
        <v>106</v>
      </c>
      <c r="E224" t="s">
        <v>68</v>
      </c>
      <c r="F224" t="s">
        <v>68</v>
      </c>
      <c r="G224" t="s">
        <v>260</v>
      </c>
      <c r="H224" t="s">
        <v>106</v>
      </c>
      <c r="I224" t="s">
        <v>70</v>
      </c>
      <c r="J224" t="s">
        <v>71</v>
      </c>
      <c r="K224" t="s">
        <v>72</v>
      </c>
      <c r="L224" t="s">
        <v>68</v>
      </c>
      <c r="M224" t="s">
        <v>68</v>
      </c>
    </row>
    <row r="225" spans="1:13">
      <c r="A225">
        <v>192</v>
      </c>
      <c r="B225" t="s">
        <v>283</v>
      </c>
      <c r="C225" t="s">
        <v>105</v>
      </c>
      <c r="D225" t="s">
        <v>106</v>
      </c>
      <c r="E225" t="s">
        <v>68</v>
      </c>
      <c r="F225" t="s">
        <v>68</v>
      </c>
      <c r="G225" t="s">
        <v>260</v>
      </c>
      <c r="H225" t="s">
        <v>106</v>
      </c>
      <c r="I225" t="s">
        <v>70</v>
      </c>
      <c r="J225" t="s">
        <v>71</v>
      </c>
      <c r="K225" t="s">
        <v>72</v>
      </c>
      <c r="L225" t="s">
        <v>68</v>
      </c>
      <c r="M225" t="s">
        <v>68</v>
      </c>
    </row>
    <row r="226" spans="1:13">
      <c r="A226">
        <v>193</v>
      </c>
      <c r="B226" t="s">
        <v>284</v>
      </c>
      <c r="C226" s="2">
        <v>3</v>
      </c>
      <c r="D226" t="s">
        <v>285</v>
      </c>
      <c r="E226" t="s">
        <v>68</v>
      </c>
      <c r="F226" t="s">
        <v>68</v>
      </c>
      <c r="G226" t="s">
        <v>69</v>
      </c>
      <c r="H226" t="s">
        <v>67</v>
      </c>
      <c r="I226" t="s">
        <v>70</v>
      </c>
      <c r="J226" t="s">
        <v>71</v>
      </c>
      <c r="K226" t="s">
        <v>72</v>
      </c>
      <c r="L226" t="s">
        <v>68</v>
      </c>
      <c r="M226" t="s">
        <v>68</v>
      </c>
    </row>
    <row r="227" spans="1:13">
      <c r="A227">
        <v>194</v>
      </c>
      <c r="B227" t="s">
        <v>286</v>
      </c>
      <c r="C227" s="2">
        <v>3</v>
      </c>
      <c r="D227" t="s">
        <v>285</v>
      </c>
      <c r="E227" t="s">
        <v>68</v>
      </c>
      <c r="F227" t="s">
        <v>68</v>
      </c>
      <c r="G227" t="s">
        <v>69</v>
      </c>
      <c r="H227" t="s">
        <v>67</v>
      </c>
      <c r="I227" t="s">
        <v>70</v>
      </c>
      <c r="J227" t="s">
        <v>71</v>
      </c>
      <c r="K227" t="s">
        <v>72</v>
      </c>
      <c r="L227" t="s">
        <v>68</v>
      </c>
      <c r="M227" t="s">
        <v>68</v>
      </c>
    </row>
    <row r="228" spans="1:13">
      <c r="A228">
        <v>195</v>
      </c>
      <c r="B228" t="s">
        <v>287</v>
      </c>
      <c r="C228" s="2">
        <v>3</v>
      </c>
      <c r="D228" t="s">
        <v>285</v>
      </c>
      <c r="E228" t="s">
        <v>68</v>
      </c>
      <c r="F228" t="s">
        <v>68</v>
      </c>
      <c r="G228" t="s">
        <v>69</v>
      </c>
      <c r="H228" t="s">
        <v>67</v>
      </c>
      <c r="I228" t="s">
        <v>70</v>
      </c>
      <c r="J228" t="s">
        <v>71</v>
      </c>
      <c r="K228" t="s">
        <v>72</v>
      </c>
      <c r="L228" t="s">
        <v>68</v>
      </c>
      <c r="M228" t="s">
        <v>68</v>
      </c>
    </row>
    <row r="229" spans="1:13">
      <c r="A229">
        <v>196</v>
      </c>
      <c r="B229" t="s">
        <v>288</v>
      </c>
      <c r="C229" t="s">
        <v>289</v>
      </c>
      <c r="D229" t="s">
        <v>290</v>
      </c>
      <c r="E229" t="s">
        <v>68</v>
      </c>
      <c r="F229" t="s">
        <v>68</v>
      </c>
      <c r="G229" t="s">
        <v>69</v>
      </c>
      <c r="H229" t="s">
        <v>67</v>
      </c>
      <c r="I229" t="s">
        <v>70</v>
      </c>
      <c r="J229" t="s">
        <v>71</v>
      </c>
      <c r="K229" t="s">
        <v>72</v>
      </c>
      <c r="L229" t="s">
        <v>68</v>
      </c>
      <c r="M229" t="s">
        <v>68</v>
      </c>
    </row>
    <row r="230" spans="1:13">
      <c r="A230">
        <v>197</v>
      </c>
      <c r="B230" t="s">
        <v>291</v>
      </c>
      <c r="C230" t="s">
        <v>289</v>
      </c>
      <c r="D230" t="s">
        <v>290</v>
      </c>
      <c r="E230" t="s">
        <v>68</v>
      </c>
      <c r="F230" t="s">
        <v>68</v>
      </c>
      <c r="G230" t="s">
        <v>69</v>
      </c>
      <c r="H230" t="s">
        <v>67</v>
      </c>
      <c r="I230" t="s">
        <v>70</v>
      </c>
      <c r="J230" t="s">
        <v>71</v>
      </c>
      <c r="K230" t="s">
        <v>72</v>
      </c>
      <c r="L230" t="s">
        <v>68</v>
      </c>
      <c r="M230" t="s">
        <v>68</v>
      </c>
    </row>
    <row r="231" spans="1:13">
      <c r="A231">
        <v>198</v>
      </c>
      <c r="B231" t="s">
        <v>292</v>
      </c>
      <c r="C231" t="s">
        <v>289</v>
      </c>
      <c r="D231" t="s">
        <v>290</v>
      </c>
      <c r="E231" t="s">
        <v>68</v>
      </c>
      <c r="F231" t="s">
        <v>68</v>
      </c>
      <c r="G231" t="s">
        <v>69</v>
      </c>
      <c r="H231" t="s">
        <v>67</v>
      </c>
      <c r="I231" t="s">
        <v>70</v>
      </c>
      <c r="J231" t="s">
        <v>71</v>
      </c>
      <c r="K231" t="s">
        <v>72</v>
      </c>
      <c r="L231" t="s">
        <v>68</v>
      </c>
      <c r="M231" t="s">
        <v>68</v>
      </c>
    </row>
    <row r="232" spans="1:13">
      <c r="A232">
        <v>199</v>
      </c>
      <c r="B232" t="s">
        <v>293</v>
      </c>
      <c r="C232" t="s">
        <v>294</v>
      </c>
      <c r="D232" t="s">
        <v>295</v>
      </c>
      <c r="E232" t="s">
        <v>68</v>
      </c>
      <c r="F232" t="s">
        <v>68</v>
      </c>
      <c r="G232" t="s">
        <v>69</v>
      </c>
      <c r="H232" t="s">
        <v>67</v>
      </c>
      <c r="I232" t="s">
        <v>70</v>
      </c>
      <c r="J232" t="s">
        <v>71</v>
      </c>
      <c r="K232" t="s">
        <v>72</v>
      </c>
      <c r="L232" t="s">
        <v>68</v>
      </c>
      <c r="M232" t="s">
        <v>68</v>
      </c>
    </row>
    <row r="233" spans="1:13">
      <c r="A233">
        <v>200</v>
      </c>
      <c r="B233" t="s">
        <v>296</v>
      </c>
      <c r="C233" t="s">
        <v>294</v>
      </c>
      <c r="D233" t="s">
        <v>295</v>
      </c>
      <c r="E233" t="s">
        <v>68</v>
      </c>
      <c r="F233" t="s">
        <v>68</v>
      </c>
      <c r="G233" t="s">
        <v>69</v>
      </c>
      <c r="H233" t="s">
        <v>67</v>
      </c>
      <c r="I233" t="s">
        <v>70</v>
      </c>
      <c r="J233" t="s">
        <v>71</v>
      </c>
      <c r="K233" t="s">
        <v>72</v>
      </c>
      <c r="L233" t="s">
        <v>68</v>
      </c>
      <c r="M233" t="s">
        <v>68</v>
      </c>
    </row>
    <row r="234" spans="1:13">
      <c r="A234">
        <v>201</v>
      </c>
      <c r="B234" t="s">
        <v>297</v>
      </c>
      <c r="C234" t="s">
        <v>294</v>
      </c>
      <c r="D234" t="s">
        <v>295</v>
      </c>
      <c r="E234" t="s">
        <v>68</v>
      </c>
      <c r="F234" t="s">
        <v>68</v>
      </c>
      <c r="G234" t="s">
        <v>69</v>
      </c>
      <c r="H234" t="s">
        <v>67</v>
      </c>
      <c r="I234" t="s">
        <v>70</v>
      </c>
      <c r="J234" t="s">
        <v>71</v>
      </c>
      <c r="K234" t="s">
        <v>72</v>
      </c>
      <c r="L234" t="s">
        <v>68</v>
      </c>
      <c r="M234" t="s">
        <v>68</v>
      </c>
    </row>
    <row r="235" spans="1:13">
      <c r="A235">
        <v>202</v>
      </c>
      <c r="B235" t="s">
        <v>298</v>
      </c>
      <c r="C235" t="s">
        <v>299</v>
      </c>
      <c r="D235" t="s">
        <v>300</v>
      </c>
      <c r="E235" t="s">
        <v>68</v>
      </c>
      <c r="F235" t="s">
        <v>68</v>
      </c>
      <c r="G235" t="s">
        <v>69</v>
      </c>
      <c r="H235" t="s">
        <v>67</v>
      </c>
      <c r="I235" t="s">
        <v>70</v>
      </c>
      <c r="J235" t="s">
        <v>71</v>
      </c>
      <c r="K235" t="s">
        <v>72</v>
      </c>
      <c r="L235" t="s">
        <v>68</v>
      </c>
      <c r="M235" t="s">
        <v>68</v>
      </c>
    </row>
    <row r="236" spans="1:13">
      <c r="A236">
        <v>203</v>
      </c>
      <c r="B236" t="s">
        <v>301</v>
      </c>
      <c r="C236" t="s">
        <v>299</v>
      </c>
      <c r="D236" t="s">
        <v>300</v>
      </c>
      <c r="E236" t="s">
        <v>68</v>
      </c>
      <c r="F236" t="s">
        <v>68</v>
      </c>
      <c r="G236" t="s">
        <v>69</v>
      </c>
      <c r="H236" t="s">
        <v>67</v>
      </c>
      <c r="I236" t="s">
        <v>70</v>
      </c>
      <c r="J236" t="s">
        <v>71</v>
      </c>
      <c r="K236" t="s">
        <v>72</v>
      </c>
      <c r="L236" t="s">
        <v>68</v>
      </c>
      <c r="M236" t="s">
        <v>68</v>
      </c>
    </row>
    <row r="237" spans="1:13">
      <c r="A237">
        <v>204</v>
      </c>
      <c r="B237" t="s">
        <v>302</v>
      </c>
      <c r="C237" t="s">
        <v>299</v>
      </c>
      <c r="D237" t="s">
        <v>300</v>
      </c>
      <c r="E237" t="s">
        <v>68</v>
      </c>
      <c r="F237" t="s">
        <v>68</v>
      </c>
      <c r="G237" t="s">
        <v>69</v>
      </c>
      <c r="H237" t="s">
        <v>67</v>
      </c>
      <c r="I237" t="s">
        <v>70</v>
      </c>
      <c r="J237" t="s">
        <v>71</v>
      </c>
      <c r="K237" t="s">
        <v>72</v>
      </c>
      <c r="L237" t="s">
        <v>68</v>
      </c>
      <c r="M237" t="s">
        <v>68</v>
      </c>
    </row>
    <row r="238" spans="1:13">
      <c r="A238">
        <v>205</v>
      </c>
      <c r="B238" t="s">
        <v>303</v>
      </c>
      <c r="C238" s="2">
        <v>4</v>
      </c>
      <c r="D238" t="s">
        <v>304</v>
      </c>
      <c r="E238" t="s">
        <v>68</v>
      </c>
      <c r="F238" t="s">
        <v>68</v>
      </c>
      <c r="G238" t="s">
        <v>69</v>
      </c>
      <c r="H238" t="s">
        <v>67</v>
      </c>
      <c r="I238" t="s">
        <v>70</v>
      </c>
      <c r="J238" t="s">
        <v>71</v>
      </c>
      <c r="K238" t="s">
        <v>72</v>
      </c>
      <c r="L238" t="s">
        <v>68</v>
      </c>
      <c r="M238" t="s">
        <v>68</v>
      </c>
    </row>
    <row r="239" spans="1:13">
      <c r="A239">
        <v>206</v>
      </c>
      <c r="B239" t="s">
        <v>305</v>
      </c>
      <c r="C239" s="2">
        <v>4</v>
      </c>
      <c r="D239" t="s">
        <v>304</v>
      </c>
      <c r="E239" t="s">
        <v>68</v>
      </c>
      <c r="F239" t="s">
        <v>68</v>
      </c>
      <c r="G239" t="s">
        <v>69</v>
      </c>
      <c r="H239" t="s">
        <v>67</v>
      </c>
      <c r="I239" t="s">
        <v>70</v>
      </c>
      <c r="J239" t="s">
        <v>71</v>
      </c>
      <c r="K239" t="s">
        <v>72</v>
      </c>
      <c r="L239" t="s">
        <v>68</v>
      </c>
      <c r="M239" t="s">
        <v>68</v>
      </c>
    </row>
    <row r="240" spans="1:13">
      <c r="A240">
        <v>207</v>
      </c>
      <c r="B240" t="s">
        <v>306</v>
      </c>
      <c r="C240" s="2">
        <v>4</v>
      </c>
      <c r="D240" t="s">
        <v>304</v>
      </c>
      <c r="E240" t="s">
        <v>68</v>
      </c>
      <c r="F240" t="s">
        <v>68</v>
      </c>
      <c r="G240" t="s">
        <v>69</v>
      </c>
      <c r="H240" t="s">
        <v>67</v>
      </c>
      <c r="I240" t="s">
        <v>70</v>
      </c>
      <c r="J240" t="s">
        <v>71</v>
      </c>
      <c r="K240" t="s">
        <v>72</v>
      </c>
      <c r="L240" t="s">
        <v>68</v>
      </c>
      <c r="M240" t="s">
        <v>68</v>
      </c>
    </row>
    <row r="241" spans="1:13">
      <c r="A241">
        <v>208</v>
      </c>
      <c r="B241" t="s">
        <v>307</v>
      </c>
      <c r="C241" t="s">
        <v>308</v>
      </c>
      <c r="D241" t="s">
        <v>309</v>
      </c>
      <c r="E241" t="s">
        <v>68</v>
      </c>
      <c r="F241" t="s">
        <v>68</v>
      </c>
      <c r="G241" t="s">
        <v>69</v>
      </c>
      <c r="H241" t="s">
        <v>67</v>
      </c>
      <c r="I241" t="s">
        <v>70</v>
      </c>
      <c r="J241" t="s">
        <v>71</v>
      </c>
      <c r="K241" t="s">
        <v>72</v>
      </c>
      <c r="L241" t="s">
        <v>68</v>
      </c>
      <c r="M241" t="s">
        <v>68</v>
      </c>
    </row>
    <row r="242" spans="1:13">
      <c r="A242">
        <v>209</v>
      </c>
      <c r="B242" t="s">
        <v>310</v>
      </c>
      <c r="C242" t="s">
        <v>308</v>
      </c>
      <c r="D242" t="s">
        <v>309</v>
      </c>
      <c r="E242" t="s">
        <v>68</v>
      </c>
      <c r="F242" t="s">
        <v>68</v>
      </c>
      <c r="G242" t="s">
        <v>69</v>
      </c>
      <c r="H242" t="s">
        <v>67</v>
      </c>
      <c r="I242" t="s">
        <v>70</v>
      </c>
      <c r="J242" t="s">
        <v>71</v>
      </c>
      <c r="K242" t="s">
        <v>72</v>
      </c>
      <c r="L242" t="s">
        <v>68</v>
      </c>
      <c r="M242" t="s">
        <v>68</v>
      </c>
    </row>
    <row r="243" spans="1:13">
      <c r="A243">
        <v>210</v>
      </c>
      <c r="B243" t="s">
        <v>311</v>
      </c>
      <c r="C243" t="s">
        <v>308</v>
      </c>
      <c r="D243" t="s">
        <v>309</v>
      </c>
      <c r="E243" t="s">
        <v>68</v>
      </c>
      <c r="F243" t="s">
        <v>68</v>
      </c>
      <c r="G243" t="s">
        <v>69</v>
      </c>
      <c r="H243" t="s">
        <v>67</v>
      </c>
      <c r="I243" t="s">
        <v>70</v>
      </c>
      <c r="J243" t="s">
        <v>71</v>
      </c>
      <c r="K243" t="s">
        <v>72</v>
      </c>
      <c r="L243" t="s">
        <v>68</v>
      </c>
      <c r="M243" t="s">
        <v>68</v>
      </c>
    </row>
    <row r="244" spans="1:13">
      <c r="A244">
        <v>211</v>
      </c>
      <c r="B244" t="s">
        <v>312</v>
      </c>
      <c r="C244" t="s">
        <v>313</v>
      </c>
      <c r="D244" t="s">
        <v>314</v>
      </c>
      <c r="E244" t="s">
        <v>68</v>
      </c>
      <c r="F244" t="s">
        <v>68</v>
      </c>
      <c r="G244" t="s">
        <v>69</v>
      </c>
      <c r="H244" t="s">
        <v>67</v>
      </c>
      <c r="I244" t="s">
        <v>70</v>
      </c>
      <c r="J244" t="s">
        <v>71</v>
      </c>
      <c r="K244" t="s">
        <v>72</v>
      </c>
      <c r="L244" t="s">
        <v>68</v>
      </c>
      <c r="M244" t="s">
        <v>68</v>
      </c>
    </row>
    <row r="245" spans="1:13">
      <c r="A245">
        <v>212</v>
      </c>
      <c r="B245" t="s">
        <v>315</v>
      </c>
      <c r="C245" t="s">
        <v>313</v>
      </c>
      <c r="D245" t="s">
        <v>314</v>
      </c>
      <c r="E245" t="s">
        <v>68</v>
      </c>
      <c r="F245" t="s">
        <v>68</v>
      </c>
      <c r="G245" t="s">
        <v>69</v>
      </c>
      <c r="H245" t="s">
        <v>67</v>
      </c>
      <c r="I245" t="s">
        <v>70</v>
      </c>
      <c r="J245" t="s">
        <v>71</v>
      </c>
      <c r="K245" t="s">
        <v>72</v>
      </c>
      <c r="L245" t="s">
        <v>68</v>
      </c>
      <c r="M245" t="s">
        <v>68</v>
      </c>
    </row>
    <row r="246" spans="1:13">
      <c r="A246">
        <v>213</v>
      </c>
      <c r="B246" t="s">
        <v>316</v>
      </c>
      <c r="C246" t="s">
        <v>313</v>
      </c>
      <c r="D246" t="s">
        <v>314</v>
      </c>
      <c r="E246" t="s">
        <v>68</v>
      </c>
      <c r="F246" t="s">
        <v>68</v>
      </c>
      <c r="G246" t="s">
        <v>69</v>
      </c>
      <c r="H246" t="s">
        <v>67</v>
      </c>
      <c r="I246" t="s">
        <v>70</v>
      </c>
      <c r="J246" t="s">
        <v>71</v>
      </c>
      <c r="K246" t="s">
        <v>72</v>
      </c>
      <c r="L246" t="s">
        <v>68</v>
      </c>
      <c r="M246" t="s">
        <v>68</v>
      </c>
    </row>
    <row r="247" spans="1:13">
      <c r="A247">
        <v>214</v>
      </c>
      <c r="B247" t="s">
        <v>317</v>
      </c>
      <c r="C247" t="s">
        <v>318</v>
      </c>
      <c r="D247" t="s">
        <v>67</v>
      </c>
      <c r="E247" t="s">
        <v>68</v>
      </c>
      <c r="F247" t="s">
        <v>68</v>
      </c>
      <c r="G247" t="s">
        <v>69</v>
      </c>
      <c r="H247" t="s">
        <v>67</v>
      </c>
      <c r="I247" t="s">
        <v>70</v>
      </c>
      <c r="J247" t="s">
        <v>71</v>
      </c>
      <c r="K247" t="s">
        <v>72</v>
      </c>
      <c r="L247" t="s">
        <v>68</v>
      </c>
      <c r="M247" t="s">
        <v>68</v>
      </c>
    </row>
    <row r="248" spans="1:13">
      <c r="A248">
        <v>215</v>
      </c>
      <c r="B248" t="s">
        <v>319</v>
      </c>
      <c r="C248" t="s">
        <v>318</v>
      </c>
      <c r="D248" t="s">
        <v>67</v>
      </c>
      <c r="E248" t="s">
        <v>68</v>
      </c>
      <c r="F248" t="s">
        <v>68</v>
      </c>
      <c r="G248" t="s">
        <v>69</v>
      </c>
      <c r="H248" t="s">
        <v>67</v>
      </c>
      <c r="I248" t="s">
        <v>70</v>
      </c>
      <c r="J248" t="s">
        <v>71</v>
      </c>
      <c r="K248" t="s">
        <v>72</v>
      </c>
      <c r="L248" t="s">
        <v>68</v>
      </c>
      <c r="M248" t="s">
        <v>68</v>
      </c>
    </row>
    <row r="249" spans="1:13">
      <c r="A249">
        <v>216</v>
      </c>
      <c r="B249" t="s">
        <v>320</v>
      </c>
      <c r="C249" t="s">
        <v>318</v>
      </c>
      <c r="D249" t="s">
        <v>67</v>
      </c>
      <c r="E249" t="s">
        <v>68</v>
      </c>
      <c r="F249" t="s">
        <v>68</v>
      </c>
      <c r="G249" t="s">
        <v>69</v>
      </c>
      <c r="H249" t="s">
        <v>67</v>
      </c>
      <c r="I249" t="s">
        <v>70</v>
      </c>
      <c r="J249" t="s">
        <v>71</v>
      </c>
      <c r="K249" t="s">
        <v>72</v>
      </c>
      <c r="L249" t="s">
        <v>68</v>
      </c>
      <c r="M249" t="s">
        <v>68</v>
      </c>
    </row>
    <row r="250" spans="1:13">
      <c r="A250">
        <v>217</v>
      </c>
      <c r="B250" t="s">
        <v>321</v>
      </c>
      <c r="C250" s="2">
        <v>3</v>
      </c>
      <c r="D250" t="s">
        <v>285</v>
      </c>
      <c r="E250" t="s">
        <v>68</v>
      </c>
      <c r="F250" t="s">
        <v>68</v>
      </c>
      <c r="G250" t="s">
        <v>110</v>
      </c>
      <c r="H250" t="s">
        <v>77</v>
      </c>
      <c r="I250" t="s">
        <v>70</v>
      </c>
      <c r="J250" t="s">
        <v>71</v>
      </c>
      <c r="K250" t="s">
        <v>72</v>
      </c>
      <c r="L250" t="s">
        <v>68</v>
      </c>
      <c r="M250" t="s">
        <v>68</v>
      </c>
    </row>
    <row r="251" spans="1:13">
      <c r="A251">
        <v>218</v>
      </c>
      <c r="B251" t="s">
        <v>322</v>
      </c>
      <c r="C251" s="2">
        <v>3</v>
      </c>
      <c r="D251" t="s">
        <v>285</v>
      </c>
      <c r="E251" t="s">
        <v>68</v>
      </c>
      <c r="F251" t="s">
        <v>68</v>
      </c>
      <c r="G251" t="s">
        <v>110</v>
      </c>
      <c r="H251" t="s">
        <v>77</v>
      </c>
      <c r="I251" t="s">
        <v>70</v>
      </c>
      <c r="J251" t="s">
        <v>71</v>
      </c>
      <c r="K251" t="s">
        <v>72</v>
      </c>
      <c r="L251" t="s">
        <v>68</v>
      </c>
      <c r="M251" t="s">
        <v>68</v>
      </c>
    </row>
    <row r="252" spans="1:13">
      <c r="A252">
        <v>219</v>
      </c>
      <c r="B252" t="s">
        <v>323</v>
      </c>
      <c r="C252" s="2">
        <v>3</v>
      </c>
      <c r="D252" t="s">
        <v>285</v>
      </c>
      <c r="E252" t="s">
        <v>68</v>
      </c>
      <c r="F252" t="s">
        <v>68</v>
      </c>
      <c r="G252" t="s">
        <v>110</v>
      </c>
      <c r="H252" t="s">
        <v>77</v>
      </c>
      <c r="I252" t="s">
        <v>70</v>
      </c>
      <c r="J252" t="s">
        <v>71</v>
      </c>
      <c r="K252" t="s">
        <v>72</v>
      </c>
      <c r="L252" t="s">
        <v>68</v>
      </c>
      <c r="M252" t="s">
        <v>68</v>
      </c>
    </row>
    <row r="253" spans="1:13">
      <c r="A253">
        <v>220</v>
      </c>
      <c r="B253" t="s">
        <v>324</v>
      </c>
      <c r="C253" t="s">
        <v>289</v>
      </c>
      <c r="D253" t="s">
        <v>290</v>
      </c>
      <c r="E253" t="s">
        <v>68</v>
      </c>
      <c r="F253" t="s">
        <v>68</v>
      </c>
      <c r="G253" t="s">
        <v>110</v>
      </c>
      <c r="H253" t="s">
        <v>77</v>
      </c>
      <c r="I253" t="s">
        <v>70</v>
      </c>
      <c r="J253" t="s">
        <v>71</v>
      </c>
      <c r="K253" t="s">
        <v>72</v>
      </c>
      <c r="L253" t="s">
        <v>68</v>
      </c>
      <c r="M253" t="s">
        <v>68</v>
      </c>
    </row>
    <row r="254" spans="1:13">
      <c r="A254">
        <v>221</v>
      </c>
      <c r="B254" t="s">
        <v>325</v>
      </c>
      <c r="C254" t="s">
        <v>289</v>
      </c>
      <c r="D254" t="s">
        <v>290</v>
      </c>
      <c r="E254" t="s">
        <v>68</v>
      </c>
      <c r="F254" t="s">
        <v>68</v>
      </c>
      <c r="G254" t="s">
        <v>110</v>
      </c>
      <c r="H254" t="s">
        <v>77</v>
      </c>
      <c r="I254" t="s">
        <v>70</v>
      </c>
      <c r="J254" t="s">
        <v>71</v>
      </c>
      <c r="K254" t="s">
        <v>72</v>
      </c>
      <c r="L254" t="s">
        <v>68</v>
      </c>
      <c r="M254" t="s">
        <v>68</v>
      </c>
    </row>
    <row r="255" spans="1:13">
      <c r="A255">
        <v>222</v>
      </c>
      <c r="B255" t="s">
        <v>326</v>
      </c>
      <c r="C255" t="s">
        <v>289</v>
      </c>
      <c r="D255" t="s">
        <v>290</v>
      </c>
      <c r="E255" t="s">
        <v>68</v>
      </c>
      <c r="F255" t="s">
        <v>68</v>
      </c>
      <c r="G255" t="s">
        <v>110</v>
      </c>
      <c r="H255" t="s">
        <v>77</v>
      </c>
      <c r="I255" t="s">
        <v>70</v>
      </c>
      <c r="J255" t="s">
        <v>71</v>
      </c>
      <c r="K255" t="s">
        <v>72</v>
      </c>
      <c r="L255" t="s">
        <v>68</v>
      </c>
      <c r="M255" t="s">
        <v>68</v>
      </c>
    </row>
    <row r="256" spans="1:13">
      <c r="A256">
        <v>223</v>
      </c>
      <c r="B256" t="s">
        <v>327</v>
      </c>
      <c r="C256" t="s">
        <v>294</v>
      </c>
      <c r="D256" t="s">
        <v>295</v>
      </c>
      <c r="E256" t="s">
        <v>68</v>
      </c>
      <c r="F256" t="s">
        <v>68</v>
      </c>
      <c r="G256" t="s">
        <v>110</v>
      </c>
      <c r="H256" t="s">
        <v>77</v>
      </c>
      <c r="I256" t="s">
        <v>70</v>
      </c>
      <c r="J256" t="s">
        <v>71</v>
      </c>
      <c r="K256" t="s">
        <v>72</v>
      </c>
      <c r="L256" t="s">
        <v>68</v>
      </c>
      <c r="M256" t="s">
        <v>68</v>
      </c>
    </row>
    <row r="257" spans="1:13">
      <c r="A257">
        <v>224</v>
      </c>
      <c r="B257" t="s">
        <v>328</v>
      </c>
      <c r="C257" t="s">
        <v>294</v>
      </c>
      <c r="D257" t="s">
        <v>295</v>
      </c>
      <c r="E257" t="s">
        <v>68</v>
      </c>
      <c r="F257" t="s">
        <v>68</v>
      </c>
      <c r="G257" t="s">
        <v>110</v>
      </c>
      <c r="H257" t="s">
        <v>77</v>
      </c>
      <c r="I257" t="s">
        <v>70</v>
      </c>
      <c r="J257" t="s">
        <v>71</v>
      </c>
      <c r="K257" t="s">
        <v>72</v>
      </c>
      <c r="L257" t="s">
        <v>68</v>
      </c>
      <c r="M257" t="s">
        <v>68</v>
      </c>
    </row>
    <row r="258" spans="1:13">
      <c r="A258">
        <v>225</v>
      </c>
      <c r="B258" t="s">
        <v>329</v>
      </c>
      <c r="C258" t="s">
        <v>294</v>
      </c>
      <c r="D258" t="s">
        <v>295</v>
      </c>
      <c r="E258" t="s">
        <v>68</v>
      </c>
      <c r="F258" t="s">
        <v>68</v>
      </c>
      <c r="G258" t="s">
        <v>110</v>
      </c>
      <c r="H258" t="s">
        <v>77</v>
      </c>
      <c r="I258" t="s">
        <v>70</v>
      </c>
      <c r="J258" t="s">
        <v>71</v>
      </c>
      <c r="K258" t="s">
        <v>72</v>
      </c>
      <c r="L258" t="s">
        <v>68</v>
      </c>
      <c r="M258" t="s">
        <v>68</v>
      </c>
    </row>
    <row r="259" spans="1:13">
      <c r="A259">
        <v>226</v>
      </c>
      <c r="B259" t="s">
        <v>330</v>
      </c>
      <c r="C259" t="s">
        <v>299</v>
      </c>
      <c r="D259" t="s">
        <v>300</v>
      </c>
      <c r="E259" t="s">
        <v>68</v>
      </c>
      <c r="F259" t="s">
        <v>68</v>
      </c>
      <c r="G259" t="s">
        <v>110</v>
      </c>
      <c r="H259" t="s">
        <v>77</v>
      </c>
      <c r="I259" t="s">
        <v>70</v>
      </c>
      <c r="J259" t="s">
        <v>71</v>
      </c>
      <c r="K259" t="s">
        <v>72</v>
      </c>
      <c r="L259" t="s">
        <v>68</v>
      </c>
      <c r="M259" t="s">
        <v>68</v>
      </c>
    </row>
    <row r="260" spans="1:13">
      <c r="A260">
        <v>227</v>
      </c>
      <c r="B260" t="s">
        <v>331</v>
      </c>
      <c r="C260" t="s">
        <v>299</v>
      </c>
      <c r="D260" t="s">
        <v>300</v>
      </c>
      <c r="E260" t="s">
        <v>68</v>
      </c>
      <c r="F260" t="s">
        <v>68</v>
      </c>
      <c r="G260" t="s">
        <v>110</v>
      </c>
      <c r="H260" t="s">
        <v>77</v>
      </c>
      <c r="I260" t="s">
        <v>70</v>
      </c>
      <c r="J260" t="s">
        <v>71</v>
      </c>
      <c r="K260" t="s">
        <v>72</v>
      </c>
      <c r="L260" t="s">
        <v>68</v>
      </c>
      <c r="M260" t="s">
        <v>68</v>
      </c>
    </row>
    <row r="261" spans="1:13">
      <c r="A261">
        <v>228</v>
      </c>
      <c r="B261" t="s">
        <v>332</v>
      </c>
      <c r="C261" t="s">
        <v>299</v>
      </c>
      <c r="D261" t="s">
        <v>300</v>
      </c>
      <c r="E261" t="s">
        <v>68</v>
      </c>
      <c r="F261" t="s">
        <v>68</v>
      </c>
      <c r="G261" t="s">
        <v>110</v>
      </c>
      <c r="H261" t="s">
        <v>77</v>
      </c>
      <c r="I261" t="s">
        <v>70</v>
      </c>
      <c r="J261" t="s">
        <v>71</v>
      </c>
      <c r="K261" t="s">
        <v>72</v>
      </c>
      <c r="L261" t="s">
        <v>68</v>
      </c>
      <c r="M261" t="s">
        <v>68</v>
      </c>
    </row>
    <row r="262" spans="1:13">
      <c r="A262">
        <v>229</v>
      </c>
      <c r="B262" t="s">
        <v>333</v>
      </c>
      <c r="C262" s="2">
        <v>4</v>
      </c>
      <c r="D262" t="s">
        <v>304</v>
      </c>
      <c r="E262" t="s">
        <v>68</v>
      </c>
      <c r="F262" t="s">
        <v>68</v>
      </c>
      <c r="G262" t="s">
        <v>110</v>
      </c>
      <c r="H262" t="s">
        <v>77</v>
      </c>
      <c r="I262" t="s">
        <v>70</v>
      </c>
      <c r="J262" t="s">
        <v>71</v>
      </c>
      <c r="K262" t="s">
        <v>72</v>
      </c>
      <c r="L262" t="s">
        <v>68</v>
      </c>
      <c r="M262" t="s">
        <v>68</v>
      </c>
    </row>
    <row r="263" spans="1:13">
      <c r="A263">
        <v>230</v>
      </c>
      <c r="B263" t="s">
        <v>334</v>
      </c>
      <c r="C263" s="2">
        <v>4</v>
      </c>
      <c r="D263" t="s">
        <v>304</v>
      </c>
      <c r="E263" t="s">
        <v>68</v>
      </c>
      <c r="F263" t="s">
        <v>68</v>
      </c>
      <c r="G263" t="s">
        <v>110</v>
      </c>
      <c r="H263" t="s">
        <v>77</v>
      </c>
      <c r="I263" t="s">
        <v>70</v>
      </c>
      <c r="J263" t="s">
        <v>71</v>
      </c>
      <c r="K263" t="s">
        <v>72</v>
      </c>
      <c r="L263" t="s">
        <v>68</v>
      </c>
      <c r="M263" t="s">
        <v>68</v>
      </c>
    </row>
    <row r="264" spans="1:13">
      <c r="A264">
        <v>231</v>
      </c>
      <c r="B264" t="s">
        <v>335</v>
      </c>
      <c r="C264" s="2">
        <v>4</v>
      </c>
      <c r="D264" t="s">
        <v>304</v>
      </c>
      <c r="E264" t="s">
        <v>68</v>
      </c>
      <c r="F264" t="s">
        <v>68</v>
      </c>
      <c r="G264" t="s">
        <v>110</v>
      </c>
      <c r="H264" t="s">
        <v>77</v>
      </c>
      <c r="I264" t="s">
        <v>70</v>
      </c>
      <c r="J264" t="s">
        <v>71</v>
      </c>
      <c r="K264" t="s">
        <v>72</v>
      </c>
      <c r="L264" t="s">
        <v>68</v>
      </c>
      <c r="M264" t="s">
        <v>68</v>
      </c>
    </row>
    <row r="265" spans="1:13">
      <c r="A265">
        <v>232</v>
      </c>
      <c r="B265" t="s">
        <v>336</v>
      </c>
      <c r="C265" t="s">
        <v>308</v>
      </c>
      <c r="D265" t="s">
        <v>309</v>
      </c>
      <c r="E265" t="s">
        <v>68</v>
      </c>
      <c r="F265" t="s">
        <v>68</v>
      </c>
      <c r="G265" t="s">
        <v>110</v>
      </c>
      <c r="H265" t="s">
        <v>77</v>
      </c>
      <c r="I265" t="s">
        <v>70</v>
      </c>
      <c r="J265" t="s">
        <v>71</v>
      </c>
      <c r="K265" t="s">
        <v>72</v>
      </c>
      <c r="L265" t="s">
        <v>68</v>
      </c>
      <c r="M265" t="s">
        <v>68</v>
      </c>
    </row>
    <row r="266" spans="1:13">
      <c r="A266">
        <v>233</v>
      </c>
      <c r="B266" t="s">
        <v>337</v>
      </c>
      <c r="C266" t="s">
        <v>308</v>
      </c>
      <c r="D266" t="s">
        <v>309</v>
      </c>
      <c r="E266" t="s">
        <v>68</v>
      </c>
      <c r="F266" t="s">
        <v>68</v>
      </c>
      <c r="G266" t="s">
        <v>110</v>
      </c>
      <c r="H266" t="s">
        <v>77</v>
      </c>
      <c r="I266" t="s">
        <v>70</v>
      </c>
      <c r="J266" t="s">
        <v>71</v>
      </c>
      <c r="K266" t="s">
        <v>72</v>
      </c>
      <c r="L266" t="s">
        <v>68</v>
      </c>
      <c r="M266" t="s">
        <v>68</v>
      </c>
    </row>
    <row r="267" spans="1:13">
      <c r="A267">
        <v>234</v>
      </c>
      <c r="B267" t="s">
        <v>338</v>
      </c>
      <c r="C267" t="s">
        <v>308</v>
      </c>
      <c r="D267" t="s">
        <v>309</v>
      </c>
      <c r="E267" t="s">
        <v>68</v>
      </c>
      <c r="F267" t="s">
        <v>68</v>
      </c>
      <c r="G267" t="s">
        <v>110</v>
      </c>
      <c r="H267" t="s">
        <v>77</v>
      </c>
      <c r="I267" t="s">
        <v>70</v>
      </c>
      <c r="J267" t="s">
        <v>71</v>
      </c>
      <c r="K267" t="s">
        <v>72</v>
      </c>
      <c r="L267" t="s">
        <v>68</v>
      </c>
      <c r="M267" t="s">
        <v>68</v>
      </c>
    </row>
    <row r="268" spans="1:13">
      <c r="A268">
        <v>235</v>
      </c>
      <c r="B268" t="s">
        <v>339</v>
      </c>
      <c r="C268" t="s">
        <v>313</v>
      </c>
      <c r="D268" t="s">
        <v>314</v>
      </c>
      <c r="E268" t="s">
        <v>68</v>
      </c>
      <c r="F268" t="s">
        <v>68</v>
      </c>
      <c r="G268" t="s">
        <v>110</v>
      </c>
      <c r="H268" t="s">
        <v>77</v>
      </c>
      <c r="I268" t="s">
        <v>70</v>
      </c>
      <c r="J268" t="s">
        <v>71</v>
      </c>
      <c r="K268" t="s">
        <v>72</v>
      </c>
      <c r="L268" t="s">
        <v>68</v>
      </c>
      <c r="M268" t="s">
        <v>68</v>
      </c>
    </row>
    <row r="269" spans="1:13">
      <c r="A269">
        <v>236</v>
      </c>
      <c r="B269" t="s">
        <v>340</v>
      </c>
      <c r="C269" t="s">
        <v>313</v>
      </c>
      <c r="D269" t="s">
        <v>314</v>
      </c>
      <c r="E269" t="s">
        <v>68</v>
      </c>
      <c r="F269" t="s">
        <v>68</v>
      </c>
      <c r="G269" t="s">
        <v>110</v>
      </c>
      <c r="H269" t="s">
        <v>77</v>
      </c>
      <c r="I269" t="s">
        <v>70</v>
      </c>
      <c r="J269" t="s">
        <v>71</v>
      </c>
      <c r="K269" t="s">
        <v>72</v>
      </c>
      <c r="L269" t="s">
        <v>68</v>
      </c>
      <c r="M269" t="s">
        <v>68</v>
      </c>
    </row>
    <row r="270" spans="1:13">
      <c r="A270">
        <v>237</v>
      </c>
      <c r="B270" t="s">
        <v>341</v>
      </c>
      <c r="C270" t="s">
        <v>313</v>
      </c>
      <c r="D270" t="s">
        <v>314</v>
      </c>
      <c r="E270" t="s">
        <v>68</v>
      </c>
      <c r="F270" t="s">
        <v>68</v>
      </c>
      <c r="G270" t="s">
        <v>110</v>
      </c>
      <c r="H270" t="s">
        <v>77</v>
      </c>
      <c r="I270" t="s">
        <v>70</v>
      </c>
      <c r="J270" t="s">
        <v>71</v>
      </c>
      <c r="K270" t="s">
        <v>72</v>
      </c>
      <c r="L270" t="s">
        <v>68</v>
      </c>
      <c r="M270" t="s">
        <v>68</v>
      </c>
    </row>
    <row r="271" spans="1:13">
      <c r="A271">
        <v>238</v>
      </c>
      <c r="B271" t="s">
        <v>342</v>
      </c>
      <c r="C271" t="s">
        <v>318</v>
      </c>
      <c r="D271" t="s">
        <v>67</v>
      </c>
      <c r="E271" t="s">
        <v>68</v>
      </c>
      <c r="F271" t="s">
        <v>68</v>
      </c>
      <c r="G271" t="s">
        <v>110</v>
      </c>
      <c r="H271" t="s">
        <v>77</v>
      </c>
      <c r="I271" t="s">
        <v>70</v>
      </c>
      <c r="J271" t="s">
        <v>71</v>
      </c>
      <c r="K271" t="s">
        <v>72</v>
      </c>
      <c r="L271" t="s">
        <v>68</v>
      </c>
      <c r="M271" t="s">
        <v>68</v>
      </c>
    </row>
    <row r="272" spans="1:13">
      <c r="A272">
        <v>239</v>
      </c>
      <c r="B272" t="s">
        <v>343</v>
      </c>
      <c r="C272" t="s">
        <v>318</v>
      </c>
      <c r="D272" t="s">
        <v>67</v>
      </c>
      <c r="E272" t="s">
        <v>68</v>
      </c>
      <c r="F272" t="s">
        <v>68</v>
      </c>
      <c r="G272" t="s">
        <v>110</v>
      </c>
      <c r="H272" t="s">
        <v>77</v>
      </c>
      <c r="I272" t="s">
        <v>70</v>
      </c>
      <c r="J272" t="s">
        <v>71</v>
      </c>
      <c r="K272" t="s">
        <v>72</v>
      </c>
      <c r="L272" t="s">
        <v>68</v>
      </c>
      <c r="M272" t="s">
        <v>68</v>
      </c>
    </row>
    <row r="273" spans="1:13">
      <c r="A273">
        <v>240</v>
      </c>
      <c r="B273" t="s">
        <v>344</v>
      </c>
      <c r="C273" t="s">
        <v>318</v>
      </c>
      <c r="D273" t="s">
        <v>67</v>
      </c>
      <c r="E273" t="s">
        <v>68</v>
      </c>
      <c r="F273" t="s">
        <v>68</v>
      </c>
      <c r="G273" t="s">
        <v>110</v>
      </c>
      <c r="H273" t="s">
        <v>77</v>
      </c>
      <c r="I273" t="s">
        <v>70</v>
      </c>
      <c r="J273" t="s">
        <v>71</v>
      </c>
      <c r="K273" t="s">
        <v>72</v>
      </c>
      <c r="L273" t="s">
        <v>68</v>
      </c>
      <c r="M273" t="s">
        <v>68</v>
      </c>
    </row>
    <row r="274" spans="1:13">
      <c r="A274">
        <v>241</v>
      </c>
      <c r="B274" t="s">
        <v>345</v>
      </c>
      <c r="C274" s="2">
        <v>3</v>
      </c>
      <c r="D274" t="s">
        <v>285</v>
      </c>
      <c r="E274" t="s">
        <v>68</v>
      </c>
      <c r="F274" t="s">
        <v>68</v>
      </c>
      <c r="G274" t="s">
        <v>135</v>
      </c>
      <c r="H274" t="s">
        <v>82</v>
      </c>
      <c r="I274" t="s">
        <v>70</v>
      </c>
      <c r="J274" t="s">
        <v>71</v>
      </c>
      <c r="K274" t="s">
        <v>72</v>
      </c>
      <c r="L274" t="s">
        <v>68</v>
      </c>
      <c r="M274" t="s">
        <v>68</v>
      </c>
    </row>
    <row r="275" spans="1:13">
      <c r="A275">
        <v>242</v>
      </c>
      <c r="B275" t="s">
        <v>346</v>
      </c>
      <c r="C275" s="2">
        <v>3</v>
      </c>
      <c r="D275" t="s">
        <v>285</v>
      </c>
      <c r="E275" t="s">
        <v>68</v>
      </c>
      <c r="F275" t="s">
        <v>68</v>
      </c>
      <c r="G275" t="s">
        <v>135</v>
      </c>
      <c r="H275" t="s">
        <v>82</v>
      </c>
      <c r="I275" t="s">
        <v>70</v>
      </c>
      <c r="J275" t="s">
        <v>71</v>
      </c>
      <c r="K275" t="s">
        <v>72</v>
      </c>
      <c r="L275" t="s">
        <v>68</v>
      </c>
      <c r="M275" t="s">
        <v>68</v>
      </c>
    </row>
    <row r="276" spans="1:13">
      <c r="A276">
        <v>243</v>
      </c>
      <c r="B276" t="s">
        <v>347</v>
      </c>
      <c r="C276" s="2">
        <v>3</v>
      </c>
      <c r="D276" t="s">
        <v>285</v>
      </c>
      <c r="E276" t="s">
        <v>68</v>
      </c>
      <c r="F276" t="s">
        <v>68</v>
      </c>
      <c r="G276" t="s">
        <v>135</v>
      </c>
      <c r="H276" t="s">
        <v>82</v>
      </c>
      <c r="I276" t="s">
        <v>70</v>
      </c>
      <c r="J276" t="s">
        <v>71</v>
      </c>
      <c r="K276" t="s">
        <v>72</v>
      </c>
      <c r="L276" t="s">
        <v>68</v>
      </c>
      <c r="M276" t="s">
        <v>68</v>
      </c>
    </row>
    <row r="277" spans="1:13">
      <c r="A277">
        <v>244</v>
      </c>
      <c r="B277" t="s">
        <v>348</v>
      </c>
      <c r="C277" t="s">
        <v>289</v>
      </c>
      <c r="D277" t="s">
        <v>290</v>
      </c>
      <c r="E277" t="s">
        <v>68</v>
      </c>
      <c r="F277" t="s">
        <v>68</v>
      </c>
      <c r="G277" t="s">
        <v>135</v>
      </c>
      <c r="H277" t="s">
        <v>82</v>
      </c>
      <c r="I277" t="s">
        <v>70</v>
      </c>
      <c r="J277" t="s">
        <v>71</v>
      </c>
      <c r="K277" t="s">
        <v>72</v>
      </c>
      <c r="L277" t="s">
        <v>68</v>
      </c>
      <c r="M277" t="s">
        <v>68</v>
      </c>
    </row>
    <row r="278" spans="1:13">
      <c r="A278">
        <v>245</v>
      </c>
      <c r="B278" t="s">
        <v>349</v>
      </c>
      <c r="C278" t="s">
        <v>289</v>
      </c>
      <c r="D278" t="s">
        <v>290</v>
      </c>
      <c r="E278" t="s">
        <v>68</v>
      </c>
      <c r="F278" t="s">
        <v>68</v>
      </c>
      <c r="G278" t="s">
        <v>135</v>
      </c>
      <c r="H278" t="s">
        <v>82</v>
      </c>
      <c r="I278" t="s">
        <v>70</v>
      </c>
      <c r="J278" t="s">
        <v>71</v>
      </c>
      <c r="K278" t="s">
        <v>72</v>
      </c>
      <c r="L278" t="s">
        <v>68</v>
      </c>
      <c r="M278" t="s">
        <v>68</v>
      </c>
    </row>
    <row r="279" spans="1:13">
      <c r="A279">
        <v>246</v>
      </c>
      <c r="B279" t="s">
        <v>350</v>
      </c>
      <c r="C279" t="s">
        <v>289</v>
      </c>
      <c r="D279" t="s">
        <v>290</v>
      </c>
      <c r="E279" t="s">
        <v>68</v>
      </c>
      <c r="F279" t="s">
        <v>68</v>
      </c>
      <c r="G279" t="s">
        <v>135</v>
      </c>
      <c r="H279" t="s">
        <v>82</v>
      </c>
      <c r="I279" t="s">
        <v>70</v>
      </c>
      <c r="J279" t="s">
        <v>71</v>
      </c>
      <c r="K279" t="s">
        <v>72</v>
      </c>
      <c r="L279" t="s">
        <v>68</v>
      </c>
      <c r="M279" t="s">
        <v>68</v>
      </c>
    </row>
    <row r="280" spans="1:13">
      <c r="A280">
        <v>247</v>
      </c>
      <c r="B280" t="s">
        <v>351</v>
      </c>
      <c r="C280" t="s">
        <v>294</v>
      </c>
      <c r="D280" t="s">
        <v>295</v>
      </c>
      <c r="E280" t="s">
        <v>68</v>
      </c>
      <c r="F280" t="s">
        <v>68</v>
      </c>
      <c r="G280" t="s">
        <v>135</v>
      </c>
      <c r="H280" t="s">
        <v>82</v>
      </c>
      <c r="I280" t="s">
        <v>70</v>
      </c>
      <c r="J280" t="s">
        <v>71</v>
      </c>
      <c r="K280" t="s">
        <v>72</v>
      </c>
      <c r="L280" t="s">
        <v>68</v>
      </c>
      <c r="M280" t="s">
        <v>68</v>
      </c>
    </row>
    <row r="281" spans="1:13">
      <c r="A281">
        <v>248</v>
      </c>
      <c r="B281" t="s">
        <v>352</v>
      </c>
      <c r="C281" t="s">
        <v>294</v>
      </c>
      <c r="D281" t="s">
        <v>295</v>
      </c>
      <c r="E281" t="s">
        <v>68</v>
      </c>
      <c r="F281" t="s">
        <v>68</v>
      </c>
      <c r="G281" t="s">
        <v>135</v>
      </c>
      <c r="H281" t="s">
        <v>82</v>
      </c>
      <c r="I281" t="s">
        <v>70</v>
      </c>
      <c r="J281" t="s">
        <v>71</v>
      </c>
      <c r="K281" t="s">
        <v>72</v>
      </c>
      <c r="L281" t="s">
        <v>68</v>
      </c>
      <c r="M281" t="s">
        <v>68</v>
      </c>
    </row>
    <row r="282" spans="1:13">
      <c r="A282">
        <v>249</v>
      </c>
      <c r="B282" t="s">
        <v>353</v>
      </c>
      <c r="C282" t="s">
        <v>294</v>
      </c>
      <c r="D282" t="s">
        <v>295</v>
      </c>
      <c r="E282" t="s">
        <v>68</v>
      </c>
      <c r="F282" t="s">
        <v>68</v>
      </c>
      <c r="G282" t="s">
        <v>135</v>
      </c>
      <c r="H282" t="s">
        <v>82</v>
      </c>
      <c r="I282" t="s">
        <v>70</v>
      </c>
      <c r="J282" t="s">
        <v>71</v>
      </c>
      <c r="K282" t="s">
        <v>72</v>
      </c>
      <c r="L282" t="s">
        <v>68</v>
      </c>
      <c r="M282" t="s">
        <v>68</v>
      </c>
    </row>
    <row r="283" spans="1:13">
      <c r="A283">
        <v>250</v>
      </c>
      <c r="B283" t="s">
        <v>354</v>
      </c>
      <c r="C283" t="s">
        <v>299</v>
      </c>
      <c r="D283" t="s">
        <v>300</v>
      </c>
      <c r="E283" t="s">
        <v>68</v>
      </c>
      <c r="F283" t="s">
        <v>68</v>
      </c>
      <c r="G283" t="s">
        <v>135</v>
      </c>
      <c r="H283" t="s">
        <v>82</v>
      </c>
      <c r="I283" t="s">
        <v>70</v>
      </c>
      <c r="J283" t="s">
        <v>71</v>
      </c>
      <c r="K283" t="s">
        <v>72</v>
      </c>
      <c r="L283" t="s">
        <v>68</v>
      </c>
      <c r="M283" t="s">
        <v>68</v>
      </c>
    </row>
    <row r="284" spans="1:13">
      <c r="A284">
        <v>251</v>
      </c>
      <c r="B284" t="s">
        <v>355</v>
      </c>
      <c r="C284" t="s">
        <v>299</v>
      </c>
      <c r="D284" t="s">
        <v>300</v>
      </c>
      <c r="E284" t="s">
        <v>68</v>
      </c>
      <c r="F284" t="s">
        <v>68</v>
      </c>
      <c r="G284" t="s">
        <v>135</v>
      </c>
      <c r="H284" t="s">
        <v>82</v>
      </c>
      <c r="I284" t="s">
        <v>70</v>
      </c>
      <c r="J284" t="s">
        <v>71</v>
      </c>
      <c r="K284" t="s">
        <v>72</v>
      </c>
      <c r="L284" t="s">
        <v>68</v>
      </c>
      <c r="M284" t="s">
        <v>68</v>
      </c>
    </row>
    <row r="285" spans="1:13">
      <c r="A285">
        <v>252</v>
      </c>
      <c r="B285" t="s">
        <v>356</v>
      </c>
      <c r="C285" t="s">
        <v>299</v>
      </c>
      <c r="D285" t="s">
        <v>300</v>
      </c>
      <c r="E285" t="s">
        <v>68</v>
      </c>
      <c r="F285" t="s">
        <v>68</v>
      </c>
      <c r="G285" t="s">
        <v>135</v>
      </c>
      <c r="H285" t="s">
        <v>82</v>
      </c>
      <c r="I285" t="s">
        <v>70</v>
      </c>
      <c r="J285" t="s">
        <v>71</v>
      </c>
      <c r="K285" t="s">
        <v>72</v>
      </c>
      <c r="L285" t="s">
        <v>68</v>
      </c>
      <c r="M285" t="s">
        <v>68</v>
      </c>
    </row>
    <row r="286" spans="1:13">
      <c r="A286">
        <v>253</v>
      </c>
      <c r="B286" t="s">
        <v>357</v>
      </c>
      <c r="C286" s="2">
        <v>4</v>
      </c>
      <c r="D286" t="s">
        <v>304</v>
      </c>
      <c r="E286" t="s">
        <v>68</v>
      </c>
      <c r="F286" t="s">
        <v>68</v>
      </c>
      <c r="G286" t="s">
        <v>135</v>
      </c>
      <c r="H286" t="s">
        <v>82</v>
      </c>
      <c r="I286" t="s">
        <v>70</v>
      </c>
      <c r="J286" t="s">
        <v>71</v>
      </c>
      <c r="K286" t="s">
        <v>72</v>
      </c>
      <c r="L286" t="s">
        <v>68</v>
      </c>
      <c r="M286" t="s">
        <v>68</v>
      </c>
    </row>
    <row r="287" spans="1:13">
      <c r="A287">
        <v>254</v>
      </c>
      <c r="B287" t="s">
        <v>358</v>
      </c>
      <c r="C287" s="2">
        <v>4</v>
      </c>
      <c r="D287" t="s">
        <v>304</v>
      </c>
      <c r="E287" t="s">
        <v>68</v>
      </c>
      <c r="F287" t="s">
        <v>68</v>
      </c>
      <c r="G287" t="s">
        <v>135</v>
      </c>
      <c r="H287" t="s">
        <v>82</v>
      </c>
      <c r="I287" t="s">
        <v>70</v>
      </c>
      <c r="J287" t="s">
        <v>71</v>
      </c>
      <c r="K287" t="s">
        <v>72</v>
      </c>
      <c r="L287" t="s">
        <v>68</v>
      </c>
      <c r="M287" t="s">
        <v>68</v>
      </c>
    </row>
    <row r="288" spans="1:13">
      <c r="A288">
        <v>255</v>
      </c>
      <c r="B288" t="s">
        <v>359</v>
      </c>
      <c r="C288" s="2">
        <v>4</v>
      </c>
      <c r="D288" t="s">
        <v>304</v>
      </c>
      <c r="E288" t="s">
        <v>68</v>
      </c>
      <c r="F288" t="s">
        <v>68</v>
      </c>
      <c r="G288" t="s">
        <v>135</v>
      </c>
      <c r="H288" t="s">
        <v>82</v>
      </c>
      <c r="I288" t="s">
        <v>70</v>
      </c>
      <c r="J288" t="s">
        <v>71</v>
      </c>
      <c r="K288" t="s">
        <v>72</v>
      </c>
      <c r="L288" t="s">
        <v>68</v>
      </c>
      <c r="M288" t="s">
        <v>68</v>
      </c>
    </row>
    <row r="289" spans="1:13">
      <c r="A289">
        <v>256</v>
      </c>
      <c r="B289" t="s">
        <v>360</v>
      </c>
      <c r="C289" t="s">
        <v>308</v>
      </c>
      <c r="D289" t="s">
        <v>309</v>
      </c>
      <c r="E289" t="s">
        <v>68</v>
      </c>
      <c r="F289" t="s">
        <v>68</v>
      </c>
      <c r="G289" t="s">
        <v>135</v>
      </c>
      <c r="H289" t="s">
        <v>82</v>
      </c>
      <c r="I289" t="s">
        <v>70</v>
      </c>
      <c r="J289" t="s">
        <v>71</v>
      </c>
      <c r="K289" t="s">
        <v>72</v>
      </c>
      <c r="L289" t="s">
        <v>68</v>
      </c>
      <c r="M289" t="s">
        <v>68</v>
      </c>
    </row>
    <row r="290" spans="1:13">
      <c r="A290">
        <v>257</v>
      </c>
      <c r="B290" t="s">
        <v>361</v>
      </c>
      <c r="C290" t="s">
        <v>308</v>
      </c>
      <c r="D290" t="s">
        <v>309</v>
      </c>
      <c r="E290" t="s">
        <v>68</v>
      </c>
      <c r="F290" t="s">
        <v>68</v>
      </c>
      <c r="G290" t="s">
        <v>135</v>
      </c>
      <c r="H290" t="s">
        <v>82</v>
      </c>
      <c r="I290" t="s">
        <v>70</v>
      </c>
      <c r="J290" t="s">
        <v>71</v>
      </c>
      <c r="K290" t="s">
        <v>72</v>
      </c>
      <c r="L290" t="s">
        <v>68</v>
      </c>
      <c r="M290" t="s">
        <v>68</v>
      </c>
    </row>
    <row r="291" spans="1:13">
      <c r="A291">
        <v>258</v>
      </c>
      <c r="B291" t="s">
        <v>362</v>
      </c>
      <c r="C291" t="s">
        <v>308</v>
      </c>
      <c r="D291" t="s">
        <v>309</v>
      </c>
      <c r="E291" t="s">
        <v>68</v>
      </c>
      <c r="F291" t="s">
        <v>68</v>
      </c>
      <c r="G291" t="s">
        <v>135</v>
      </c>
      <c r="H291" t="s">
        <v>82</v>
      </c>
      <c r="I291" t="s">
        <v>70</v>
      </c>
      <c r="J291" t="s">
        <v>71</v>
      </c>
      <c r="K291" t="s">
        <v>72</v>
      </c>
      <c r="L291" t="s">
        <v>68</v>
      </c>
      <c r="M291" t="s">
        <v>68</v>
      </c>
    </row>
    <row r="292" spans="1:13">
      <c r="A292">
        <v>259</v>
      </c>
      <c r="B292" t="s">
        <v>363</v>
      </c>
      <c r="C292" t="s">
        <v>313</v>
      </c>
      <c r="D292" t="s">
        <v>314</v>
      </c>
      <c r="E292" t="s">
        <v>68</v>
      </c>
      <c r="F292" t="s">
        <v>68</v>
      </c>
      <c r="G292" t="s">
        <v>135</v>
      </c>
      <c r="H292" t="s">
        <v>82</v>
      </c>
      <c r="I292" t="s">
        <v>70</v>
      </c>
      <c r="J292" t="s">
        <v>71</v>
      </c>
      <c r="K292" t="s">
        <v>72</v>
      </c>
      <c r="L292" t="s">
        <v>68</v>
      </c>
      <c r="M292" t="s">
        <v>68</v>
      </c>
    </row>
    <row r="293" spans="1:13">
      <c r="A293">
        <v>260</v>
      </c>
      <c r="B293" t="s">
        <v>364</v>
      </c>
      <c r="C293" t="s">
        <v>313</v>
      </c>
      <c r="D293" t="s">
        <v>314</v>
      </c>
      <c r="E293" t="s">
        <v>68</v>
      </c>
      <c r="F293" t="s">
        <v>68</v>
      </c>
      <c r="G293" t="s">
        <v>135</v>
      </c>
      <c r="H293" t="s">
        <v>82</v>
      </c>
      <c r="I293" t="s">
        <v>70</v>
      </c>
      <c r="J293" t="s">
        <v>71</v>
      </c>
      <c r="K293" t="s">
        <v>72</v>
      </c>
      <c r="L293" t="s">
        <v>68</v>
      </c>
      <c r="M293" t="s">
        <v>68</v>
      </c>
    </row>
    <row r="294" spans="1:13">
      <c r="A294">
        <v>261</v>
      </c>
      <c r="B294" t="s">
        <v>365</v>
      </c>
      <c r="C294" t="s">
        <v>313</v>
      </c>
      <c r="D294" t="s">
        <v>314</v>
      </c>
      <c r="E294" t="s">
        <v>68</v>
      </c>
      <c r="F294" t="s">
        <v>68</v>
      </c>
      <c r="G294" t="s">
        <v>135</v>
      </c>
      <c r="H294" t="s">
        <v>82</v>
      </c>
      <c r="I294" t="s">
        <v>70</v>
      </c>
      <c r="J294" t="s">
        <v>71</v>
      </c>
      <c r="K294" t="s">
        <v>72</v>
      </c>
      <c r="L294" t="s">
        <v>68</v>
      </c>
      <c r="M294" t="s">
        <v>68</v>
      </c>
    </row>
    <row r="295" spans="1:13">
      <c r="A295">
        <v>262</v>
      </c>
      <c r="B295" t="s">
        <v>366</v>
      </c>
      <c r="C295" t="s">
        <v>318</v>
      </c>
      <c r="D295" t="s">
        <v>67</v>
      </c>
      <c r="E295" t="s">
        <v>68</v>
      </c>
      <c r="F295" t="s">
        <v>68</v>
      </c>
      <c r="G295" t="s">
        <v>135</v>
      </c>
      <c r="H295" t="s">
        <v>82</v>
      </c>
      <c r="I295" t="s">
        <v>70</v>
      </c>
      <c r="J295" t="s">
        <v>71</v>
      </c>
      <c r="K295" t="s">
        <v>72</v>
      </c>
      <c r="L295" t="s">
        <v>68</v>
      </c>
      <c r="M295" t="s">
        <v>68</v>
      </c>
    </row>
    <row r="296" spans="1:13">
      <c r="A296">
        <v>263</v>
      </c>
      <c r="B296" t="s">
        <v>367</v>
      </c>
      <c r="C296" t="s">
        <v>318</v>
      </c>
      <c r="D296" t="s">
        <v>67</v>
      </c>
      <c r="E296" t="s">
        <v>68</v>
      </c>
      <c r="F296" t="s">
        <v>68</v>
      </c>
      <c r="G296" t="s">
        <v>135</v>
      </c>
      <c r="H296" t="s">
        <v>82</v>
      </c>
      <c r="I296" t="s">
        <v>70</v>
      </c>
      <c r="J296" t="s">
        <v>71</v>
      </c>
      <c r="K296" t="s">
        <v>72</v>
      </c>
      <c r="L296" t="s">
        <v>68</v>
      </c>
      <c r="M296" t="s">
        <v>68</v>
      </c>
    </row>
    <row r="297" spans="1:13">
      <c r="A297">
        <v>264</v>
      </c>
      <c r="B297" t="s">
        <v>368</v>
      </c>
      <c r="C297" t="s">
        <v>318</v>
      </c>
      <c r="D297" t="s">
        <v>67</v>
      </c>
      <c r="E297" t="s">
        <v>68</v>
      </c>
      <c r="F297" t="s">
        <v>68</v>
      </c>
      <c r="G297" t="s">
        <v>135</v>
      </c>
      <c r="H297" t="s">
        <v>82</v>
      </c>
      <c r="I297" t="s">
        <v>70</v>
      </c>
      <c r="J297" t="s">
        <v>71</v>
      </c>
      <c r="K297" t="s">
        <v>72</v>
      </c>
      <c r="L297" t="s">
        <v>68</v>
      </c>
      <c r="M297" t="s">
        <v>68</v>
      </c>
    </row>
    <row r="298" spans="1:13">
      <c r="A298">
        <v>265</v>
      </c>
      <c r="B298" t="s">
        <v>369</v>
      </c>
      <c r="C298" s="2">
        <v>3</v>
      </c>
      <c r="D298" t="s">
        <v>285</v>
      </c>
      <c r="E298" t="s">
        <v>68</v>
      </c>
      <c r="F298" t="s">
        <v>68</v>
      </c>
      <c r="G298" t="s">
        <v>160</v>
      </c>
      <c r="H298" t="s">
        <v>87</v>
      </c>
      <c r="I298" t="s">
        <v>70</v>
      </c>
      <c r="J298" t="s">
        <v>71</v>
      </c>
      <c r="K298" t="s">
        <v>72</v>
      </c>
      <c r="L298" t="s">
        <v>68</v>
      </c>
      <c r="M298" t="s">
        <v>68</v>
      </c>
    </row>
    <row r="299" spans="1:13">
      <c r="A299">
        <v>266</v>
      </c>
      <c r="B299" t="s">
        <v>370</v>
      </c>
      <c r="C299" s="2">
        <v>3</v>
      </c>
      <c r="D299" t="s">
        <v>285</v>
      </c>
      <c r="E299" t="s">
        <v>68</v>
      </c>
      <c r="F299" t="s">
        <v>68</v>
      </c>
      <c r="G299" t="s">
        <v>160</v>
      </c>
      <c r="H299" t="s">
        <v>87</v>
      </c>
      <c r="I299" t="s">
        <v>70</v>
      </c>
      <c r="J299" t="s">
        <v>71</v>
      </c>
      <c r="K299" t="s">
        <v>72</v>
      </c>
      <c r="L299" t="s">
        <v>68</v>
      </c>
      <c r="M299" t="s">
        <v>68</v>
      </c>
    </row>
    <row r="300" spans="1:13">
      <c r="A300">
        <v>267</v>
      </c>
      <c r="B300" t="s">
        <v>371</v>
      </c>
      <c r="C300" s="2">
        <v>3</v>
      </c>
      <c r="D300" t="s">
        <v>285</v>
      </c>
      <c r="E300" t="s">
        <v>68</v>
      </c>
      <c r="F300" t="s">
        <v>68</v>
      </c>
      <c r="G300" t="s">
        <v>160</v>
      </c>
      <c r="H300" t="s">
        <v>87</v>
      </c>
      <c r="I300" t="s">
        <v>70</v>
      </c>
      <c r="J300" t="s">
        <v>71</v>
      </c>
      <c r="K300" t="s">
        <v>72</v>
      </c>
      <c r="L300" t="s">
        <v>68</v>
      </c>
      <c r="M300" t="s">
        <v>68</v>
      </c>
    </row>
    <row r="301" spans="1:13">
      <c r="A301">
        <v>268</v>
      </c>
      <c r="B301" t="s">
        <v>372</v>
      </c>
      <c r="C301" t="s">
        <v>289</v>
      </c>
      <c r="D301" t="s">
        <v>290</v>
      </c>
      <c r="E301" t="s">
        <v>68</v>
      </c>
      <c r="F301" t="s">
        <v>68</v>
      </c>
      <c r="G301" t="s">
        <v>160</v>
      </c>
      <c r="H301" t="s">
        <v>87</v>
      </c>
      <c r="I301" t="s">
        <v>70</v>
      </c>
      <c r="J301" t="s">
        <v>71</v>
      </c>
      <c r="K301" t="s">
        <v>72</v>
      </c>
      <c r="L301" t="s">
        <v>68</v>
      </c>
      <c r="M301" t="s">
        <v>68</v>
      </c>
    </row>
    <row r="302" spans="1:13">
      <c r="A302">
        <v>269</v>
      </c>
      <c r="B302" t="s">
        <v>373</v>
      </c>
      <c r="C302" t="s">
        <v>289</v>
      </c>
      <c r="D302" t="s">
        <v>290</v>
      </c>
      <c r="E302" t="s">
        <v>68</v>
      </c>
      <c r="F302" t="s">
        <v>68</v>
      </c>
      <c r="G302" t="s">
        <v>160</v>
      </c>
      <c r="H302" t="s">
        <v>87</v>
      </c>
      <c r="I302" t="s">
        <v>70</v>
      </c>
      <c r="J302" t="s">
        <v>71</v>
      </c>
      <c r="K302" t="s">
        <v>72</v>
      </c>
      <c r="L302" t="s">
        <v>68</v>
      </c>
      <c r="M302" t="s">
        <v>68</v>
      </c>
    </row>
    <row r="303" spans="1:13">
      <c r="A303">
        <v>270</v>
      </c>
      <c r="B303" t="s">
        <v>374</v>
      </c>
      <c r="C303" t="s">
        <v>289</v>
      </c>
      <c r="D303" t="s">
        <v>290</v>
      </c>
      <c r="E303" t="s">
        <v>68</v>
      </c>
      <c r="F303" t="s">
        <v>68</v>
      </c>
      <c r="G303" t="s">
        <v>160</v>
      </c>
      <c r="H303" t="s">
        <v>87</v>
      </c>
      <c r="I303" t="s">
        <v>70</v>
      </c>
      <c r="J303" t="s">
        <v>71</v>
      </c>
      <c r="K303" t="s">
        <v>72</v>
      </c>
      <c r="L303" t="s">
        <v>68</v>
      </c>
      <c r="M303" t="s">
        <v>68</v>
      </c>
    </row>
    <row r="304" spans="1:13">
      <c r="A304">
        <v>271</v>
      </c>
      <c r="B304" t="s">
        <v>375</v>
      </c>
      <c r="C304" t="s">
        <v>294</v>
      </c>
      <c r="D304" t="s">
        <v>295</v>
      </c>
      <c r="E304" t="s">
        <v>68</v>
      </c>
      <c r="F304" t="s">
        <v>68</v>
      </c>
      <c r="G304" t="s">
        <v>160</v>
      </c>
      <c r="H304" t="s">
        <v>87</v>
      </c>
      <c r="I304" t="s">
        <v>70</v>
      </c>
      <c r="J304" t="s">
        <v>71</v>
      </c>
      <c r="K304" t="s">
        <v>72</v>
      </c>
      <c r="L304" t="s">
        <v>68</v>
      </c>
      <c r="M304" t="s">
        <v>68</v>
      </c>
    </row>
    <row r="305" spans="1:13">
      <c r="A305">
        <v>272</v>
      </c>
      <c r="B305" t="s">
        <v>376</v>
      </c>
      <c r="C305" t="s">
        <v>294</v>
      </c>
      <c r="D305" t="s">
        <v>295</v>
      </c>
      <c r="E305" t="s">
        <v>68</v>
      </c>
      <c r="F305" t="s">
        <v>68</v>
      </c>
      <c r="G305" t="s">
        <v>160</v>
      </c>
      <c r="H305" t="s">
        <v>87</v>
      </c>
      <c r="I305" t="s">
        <v>70</v>
      </c>
      <c r="J305" t="s">
        <v>71</v>
      </c>
      <c r="K305" t="s">
        <v>72</v>
      </c>
      <c r="L305" t="s">
        <v>68</v>
      </c>
      <c r="M305" t="s">
        <v>68</v>
      </c>
    </row>
    <row r="306" spans="1:13">
      <c r="A306">
        <v>273</v>
      </c>
      <c r="B306" t="s">
        <v>377</v>
      </c>
      <c r="C306" t="s">
        <v>294</v>
      </c>
      <c r="D306" t="s">
        <v>295</v>
      </c>
      <c r="E306" t="s">
        <v>68</v>
      </c>
      <c r="F306" t="s">
        <v>68</v>
      </c>
      <c r="G306" t="s">
        <v>160</v>
      </c>
      <c r="H306" t="s">
        <v>87</v>
      </c>
      <c r="I306" t="s">
        <v>70</v>
      </c>
      <c r="J306" t="s">
        <v>71</v>
      </c>
      <c r="K306" t="s">
        <v>72</v>
      </c>
      <c r="L306" t="s">
        <v>68</v>
      </c>
      <c r="M306" t="s">
        <v>68</v>
      </c>
    </row>
    <row r="307" spans="1:13">
      <c r="A307">
        <v>274</v>
      </c>
      <c r="B307" t="s">
        <v>378</v>
      </c>
      <c r="C307" t="s">
        <v>299</v>
      </c>
      <c r="D307" t="s">
        <v>300</v>
      </c>
      <c r="E307" t="s">
        <v>68</v>
      </c>
      <c r="F307" t="s">
        <v>68</v>
      </c>
      <c r="G307" t="s">
        <v>160</v>
      </c>
      <c r="H307" t="s">
        <v>87</v>
      </c>
      <c r="I307" t="s">
        <v>70</v>
      </c>
      <c r="J307" t="s">
        <v>71</v>
      </c>
      <c r="K307" t="s">
        <v>72</v>
      </c>
      <c r="L307" t="s">
        <v>68</v>
      </c>
      <c r="M307" t="s">
        <v>68</v>
      </c>
    </row>
    <row r="308" spans="1:13">
      <c r="A308">
        <v>275</v>
      </c>
      <c r="B308" t="s">
        <v>379</v>
      </c>
      <c r="C308" t="s">
        <v>299</v>
      </c>
      <c r="D308" t="s">
        <v>300</v>
      </c>
      <c r="E308" t="s">
        <v>68</v>
      </c>
      <c r="F308" t="s">
        <v>68</v>
      </c>
      <c r="G308" t="s">
        <v>160</v>
      </c>
      <c r="H308" t="s">
        <v>87</v>
      </c>
      <c r="I308" t="s">
        <v>70</v>
      </c>
      <c r="J308" t="s">
        <v>71</v>
      </c>
      <c r="K308" t="s">
        <v>72</v>
      </c>
      <c r="L308" t="s">
        <v>68</v>
      </c>
      <c r="M308" t="s">
        <v>68</v>
      </c>
    </row>
    <row r="309" spans="1:13">
      <c r="A309">
        <v>276</v>
      </c>
      <c r="B309" t="s">
        <v>380</v>
      </c>
      <c r="C309" t="s">
        <v>299</v>
      </c>
      <c r="D309" t="s">
        <v>300</v>
      </c>
      <c r="E309" t="s">
        <v>68</v>
      </c>
      <c r="F309" t="s">
        <v>68</v>
      </c>
      <c r="G309" t="s">
        <v>160</v>
      </c>
      <c r="H309" t="s">
        <v>87</v>
      </c>
      <c r="I309" t="s">
        <v>70</v>
      </c>
      <c r="J309" t="s">
        <v>71</v>
      </c>
      <c r="K309" t="s">
        <v>72</v>
      </c>
      <c r="L309" t="s">
        <v>68</v>
      </c>
      <c r="M309" t="s">
        <v>68</v>
      </c>
    </row>
    <row r="310" spans="1:13">
      <c r="A310">
        <v>277</v>
      </c>
      <c r="B310" t="s">
        <v>381</v>
      </c>
      <c r="C310" s="2">
        <v>4</v>
      </c>
      <c r="D310" t="s">
        <v>304</v>
      </c>
      <c r="E310" t="s">
        <v>68</v>
      </c>
      <c r="F310" t="s">
        <v>68</v>
      </c>
      <c r="G310" t="s">
        <v>160</v>
      </c>
      <c r="H310" t="s">
        <v>87</v>
      </c>
      <c r="I310" t="s">
        <v>70</v>
      </c>
      <c r="J310" t="s">
        <v>71</v>
      </c>
      <c r="K310" t="s">
        <v>72</v>
      </c>
      <c r="L310" t="s">
        <v>68</v>
      </c>
      <c r="M310" t="s">
        <v>68</v>
      </c>
    </row>
    <row r="311" spans="1:13">
      <c r="A311">
        <v>278</v>
      </c>
      <c r="B311" t="s">
        <v>382</v>
      </c>
      <c r="C311" s="2">
        <v>4</v>
      </c>
      <c r="D311" t="s">
        <v>304</v>
      </c>
      <c r="E311" t="s">
        <v>68</v>
      </c>
      <c r="F311" t="s">
        <v>68</v>
      </c>
      <c r="G311" t="s">
        <v>160</v>
      </c>
      <c r="H311" t="s">
        <v>87</v>
      </c>
      <c r="I311" t="s">
        <v>70</v>
      </c>
      <c r="J311" t="s">
        <v>71</v>
      </c>
      <c r="K311" t="s">
        <v>72</v>
      </c>
      <c r="L311" t="s">
        <v>68</v>
      </c>
      <c r="M311" t="s">
        <v>68</v>
      </c>
    </row>
    <row r="312" spans="1:13">
      <c r="A312">
        <v>279</v>
      </c>
      <c r="B312" t="s">
        <v>383</v>
      </c>
      <c r="C312" s="2">
        <v>4</v>
      </c>
      <c r="D312" t="s">
        <v>304</v>
      </c>
      <c r="E312" t="s">
        <v>68</v>
      </c>
      <c r="F312" t="s">
        <v>68</v>
      </c>
      <c r="G312" t="s">
        <v>160</v>
      </c>
      <c r="H312" t="s">
        <v>87</v>
      </c>
      <c r="I312" t="s">
        <v>70</v>
      </c>
      <c r="J312" t="s">
        <v>71</v>
      </c>
      <c r="K312" t="s">
        <v>72</v>
      </c>
      <c r="L312" t="s">
        <v>68</v>
      </c>
      <c r="M312" t="s">
        <v>68</v>
      </c>
    </row>
    <row r="313" spans="1:13">
      <c r="A313">
        <v>280</v>
      </c>
      <c r="B313" t="s">
        <v>384</v>
      </c>
      <c r="C313" t="s">
        <v>308</v>
      </c>
      <c r="D313" t="s">
        <v>309</v>
      </c>
      <c r="E313" t="s">
        <v>68</v>
      </c>
      <c r="F313" t="s">
        <v>68</v>
      </c>
      <c r="G313" t="s">
        <v>160</v>
      </c>
      <c r="H313" t="s">
        <v>87</v>
      </c>
      <c r="I313" t="s">
        <v>70</v>
      </c>
      <c r="J313" t="s">
        <v>71</v>
      </c>
      <c r="K313" t="s">
        <v>72</v>
      </c>
      <c r="L313" t="s">
        <v>68</v>
      </c>
      <c r="M313" t="s">
        <v>68</v>
      </c>
    </row>
    <row r="314" spans="1:13">
      <c r="A314">
        <v>281</v>
      </c>
      <c r="B314" t="s">
        <v>385</v>
      </c>
      <c r="C314" t="s">
        <v>308</v>
      </c>
      <c r="D314" t="s">
        <v>309</v>
      </c>
      <c r="E314" t="s">
        <v>68</v>
      </c>
      <c r="F314" t="s">
        <v>68</v>
      </c>
      <c r="G314" t="s">
        <v>160</v>
      </c>
      <c r="H314" t="s">
        <v>87</v>
      </c>
      <c r="I314" t="s">
        <v>70</v>
      </c>
      <c r="J314" t="s">
        <v>71</v>
      </c>
      <c r="K314" t="s">
        <v>72</v>
      </c>
      <c r="L314" t="s">
        <v>68</v>
      </c>
      <c r="M314" t="s">
        <v>68</v>
      </c>
    </row>
    <row r="315" spans="1:13">
      <c r="A315">
        <v>282</v>
      </c>
      <c r="B315" t="s">
        <v>386</v>
      </c>
      <c r="C315" t="s">
        <v>308</v>
      </c>
      <c r="D315" t="s">
        <v>309</v>
      </c>
      <c r="E315" t="s">
        <v>68</v>
      </c>
      <c r="F315" t="s">
        <v>68</v>
      </c>
      <c r="G315" t="s">
        <v>160</v>
      </c>
      <c r="H315" t="s">
        <v>87</v>
      </c>
      <c r="I315" t="s">
        <v>70</v>
      </c>
      <c r="J315" t="s">
        <v>71</v>
      </c>
      <c r="K315" t="s">
        <v>72</v>
      </c>
      <c r="L315" t="s">
        <v>68</v>
      </c>
      <c r="M315" t="s">
        <v>68</v>
      </c>
    </row>
    <row r="316" spans="1:13">
      <c r="A316">
        <v>283</v>
      </c>
      <c r="B316" t="s">
        <v>387</v>
      </c>
      <c r="C316" t="s">
        <v>313</v>
      </c>
      <c r="D316" t="s">
        <v>314</v>
      </c>
      <c r="E316" t="s">
        <v>68</v>
      </c>
      <c r="F316" t="s">
        <v>68</v>
      </c>
      <c r="G316" t="s">
        <v>160</v>
      </c>
      <c r="H316" t="s">
        <v>87</v>
      </c>
      <c r="I316" t="s">
        <v>70</v>
      </c>
      <c r="J316" t="s">
        <v>71</v>
      </c>
      <c r="K316" t="s">
        <v>72</v>
      </c>
      <c r="L316" t="s">
        <v>68</v>
      </c>
      <c r="M316" t="s">
        <v>68</v>
      </c>
    </row>
    <row r="317" spans="1:13">
      <c r="A317">
        <v>284</v>
      </c>
      <c r="B317" t="s">
        <v>388</v>
      </c>
      <c r="C317" t="s">
        <v>313</v>
      </c>
      <c r="D317" t="s">
        <v>314</v>
      </c>
      <c r="E317" t="s">
        <v>68</v>
      </c>
      <c r="F317" t="s">
        <v>68</v>
      </c>
      <c r="G317" t="s">
        <v>160</v>
      </c>
      <c r="H317" t="s">
        <v>87</v>
      </c>
      <c r="I317" t="s">
        <v>70</v>
      </c>
      <c r="J317" t="s">
        <v>71</v>
      </c>
      <c r="K317" t="s">
        <v>72</v>
      </c>
      <c r="L317" t="s">
        <v>68</v>
      </c>
      <c r="M317" t="s">
        <v>68</v>
      </c>
    </row>
    <row r="318" spans="1:13">
      <c r="A318">
        <v>285</v>
      </c>
      <c r="B318" t="s">
        <v>389</v>
      </c>
      <c r="C318" t="s">
        <v>313</v>
      </c>
      <c r="D318" t="s">
        <v>314</v>
      </c>
      <c r="E318" t="s">
        <v>68</v>
      </c>
      <c r="F318" t="s">
        <v>68</v>
      </c>
      <c r="G318" t="s">
        <v>160</v>
      </c>
      <c r="H318" t="s">
        <v>87</v>
      </c>
      <c r="I318" t="s">
        <v>70</v>
      </c>
      <c r="J318" t="s">
        <v>71</v>
      </c>
      <c r="K318" t="s">
        <v>72</v>
      </c>
      <c r="L318" t="s">
        <v>68</v>
      </c>
      <c r="M318" t="s">
        <v>68</v>
      </c>
    </row>
    <row r="319" spans="1:13">
      <c r="A319">
        <v>286</v>
      </c>
      <c r="B319" t="s">
        <v>390</v>
      </c>
      <c r="C319" t="s">
        <v>318</v>
      </c>
      <c r="D319" t="s">
        <v>67</v>
      </c>
      <c r="E319" t="s">
        <v>68</v>
      </c>
      <c r="F319" t="s">
        <v>68</v>
      </c>
      <c r="G319" t="s">
        <v>160</v>
      </c>
      <c r="H319" t="s">
        <v>87</v>
      </c>
      <c r="I319" t="s">
        <v>70</v>
      </c>
      <c r="J319" t="s">
        <v>71</v>
      </c>
      <c r="K319" t="s">
        <v>72</v>
      </c>
      <c r="L319" t="s">
        <v>68</v>
      </c>
      <c r="M319" t="s">
        <v>68</v>
      </c>
    </row>
    <row r="320" spans="1:13">
      <c r="A320">
        <v>287</v>
      </c>
      <c r="B320" t="s">
        <v>391</v>
      </c>
      <c r="C320" t="s">
        <v>318</v>
      </c>
      <c r="D320" t="s">
        <v>67</v>
      </c>
      <c r="E320" t="s">
        <v>68</v>
      </c>
      <c r="F320" t="s">
        <v>68</v>
      </c>
      <c r="G320" t="s">
        <v>160</v>
      </c>
      <c r="H320" t="s">
        <v>87</v>
      </c>
      <c r="I320" t="s">
        <v>70</v>
      </c>
      <c r="J320" t="s">
        <v>71</v>
      </c>
      <c r="K320" t="s">
        <v>72</v>
      </c>
      <c r="L320" t="s">
        <v>68</v>
      </c>
      <c r="M320" t="s">
        <v>68</v>
      </c>
    </row>
    <row r="321" spans="1:13">
      <c r="A321">
        <v>288</v>
      </c>
      <c r="B321" t="s">
        <v>392</v>
      </c>
      <c r="C321" t="s">
        <v>318</v>
      </c>
      <c r="D321" t="s">
        <v>67</v>
      </c>
      <c r="E321" t="s">
        <v>68</v>
      </c>
      <c r="F321" t="s">
        <v>68</v>
      </c>
      <c r="G321" t="s">
        <v>160</v>
      </c>
      <c r="H321" t="s">
        <v>87</v>
      </c>
      <c r="I321" t="s">
        <v>70</v>
      </c>
      <c r="J321" t="s">
        <v>71</v>
      </c>
      <c r="K321" t="s">
        <v>72</v>
      </c>
      <c r="L321" t="s">
        <v>68</v>
      </c>
      <c r="M321" t="s">
        <v>68</v>
      </c>
    </row>
    <row r="322" spans="1:13">
      <c r="A322">
        <v>289</v>
      </c>
      <c r="B322" t="s">
        <v>393</v>
      </c>
      <c r="C322" s="2">
        <v>3</v>
      </c>
      <c r="D322" t="s">
        <v>285</v>
      </c>
      <c r="E322" t="s">
        <v>68</v>
      </c>
      <c r="F322" t="s">
        <v>68</v>
      </c>
      <c r="G322" t="s">
        <v>185</v>
      </c>
      <c r="H322" t="s">
        <v>91</v>
      </c>
      <c r="I322" t="s">
        <v>70</v>
      </c>
      <c r="J322" t="s">
        <v>71</v>
      </c>
      <c r="K322" t="s">
        <v>72</v>
      </c>
      <c r="L322" t="s">
        <v>68</v>
      </c>
      <c r="M322" t="s">
        <v>68</v>
      </c>
    </row>
    <row r="323" spans="1:13">
      <c r="A323">
        <v>290</v>
      </c>
      <c r="B323" t="s">
        <v>394</v>
      </c>
      <c r="C323" s="2">
        <v>3</v>
      </c>
      <c r="D323" t="s">
        <v>285</v>
      </c>
      <c r="E323" t="s">
        <v>68</v>
      </c>
      <c r="F323" t="s">
        <v>68</v>
      </c>
      <c r="G323" t="s">
        <v>185</v>
      </c>
      <c r="H323" t="s">
        <v>91</v>
      </c>
      <c r="I323" t="s">
        <v>70</v>
      </c>
      <c r="J323" t="s">
        <v>71</v>
      </c>
      <c r="K323" t="s">
        <v>72</v>
      </c>
      <c r="L323" t="s">
        <v>68</v>
      </c>
      <c r="M323" t="s">
        <v>68</v>
      </c>
    </row>
    <row r="324" spans="1:13">
      <c r="A324">
        <v>291</v>
      </c>
      <c r="B324" t="s">
        <v>395</v>
      </c>
      <c r="C324" s="2">
        <v>3</v>
      </c>
      <c r="D324" t="s">
        <v>285</v>
      </c>
      <c r="E324" t="s">
        <v>68</v>
      </c>
      <c r="F324" t="s">
        <v>68</v>
      </c>
      <c r="G324" t="s">
        <v>185</v>
      </c>
      <c r="H324" t="s">
        <v>91</v>
      </c>
      <c r="I324" t="s">
        <v>70</v>
      </c>
      <c r="J324" t="s">
        <v>71</v>
      </c>
      <c r="K324" t="s">
        <v>72</v>
      </c>
      <c r="L324" t="s">
        <v>68</v>
      </c>
      <c r="M324" t="s">
        <v>68</v>
      </c>
    </row>
    <row r="325" spans="1:13">
      <c r="A325">
        <v>292</v>
      </c>
      <c r="B325" t="s">
        <v>396</v>
      </c>
      <c r="C325" t="s">
        <v>289</v>
      </c>
      <c r="D325" t="s">
        <v>290</v>
      </c>
      <c r="E325" t="s">
        <v>68</v>
      </c>
      <c r="F325" t="s">
        <v>68</v>
      </c>
      <c r="G325" t="s">
        <v>185</v>
      </c>
      <c r="H325" t="s">
        <v>91</v>
      </c>
      <c r="I325" t="s">
        <v>70</v>
      </c>
      <c r="J325" t="s">
        <v>71</v>
      </c>
      <c r="K325" t="s">
        <v>72</v>
      </c>
      <c r="L325" t="s">
        <v>68</v>
      </c>
      <c r="M325" t="s">
        <v>68</v>
      </c>
    </row>
    <row r="326" spans="1:13">
      <c r="A326">
        <v>293</v>
      </c>
      <c r="B326" t="s">
        <v>397</v>
      </c>
      <c r="C326" t="s">
        <v>289</v>
      </c>
      <c r="D326" t="s">
        <v>290</v>
      </c>
      <c r="E326" t="s">
        <v>68</v>
      </c>
      <c r="F326" t="s">
        <v>68</v>
      </c>
      <c r="G326" t="s">
        <v>185</v>
      </c>
      <c r="H326" t="s">
        <v>91</v>
      </c>
      <c r="I326" t="s">
        <v>70</v>
      </c>
      <c r="J326" t="s">
        <v>71</v>
      </c>
      <c r="K326" t="s">
        <v>72</v>
      </c>
      <c r="L326" t="s">
        <v>68</v>
      </c>
      <c r="M326" t="s">
        <v>68</v>
      </c>
    </row>
    <row r="327" spans="1:13">
      <c r="A327">
        <v>294</v>
      </c>
      <c r="B327" t="s">
        <v>398</v>
      </c>
      <c r="C327" t="s">
        <v>289</v>
      </c>
      <c r="D327" t="s">
        <v>290</v>
      </c>
      <c r="E327" t="s">
        <v>68</v>
      </c>
      <c r="F327" t="s">
        <v>68</v>
      </c>
      <c r="G327" t="s">
        <v>185</v>
      </c>
      <c r="H327" t="s">
        <v>91</v>
      </c>
      <c r="I327" t="s">
        <v>70</v>
      </c>
      <c r="J327" t="s">
        <v>71</v>
      </c>
      <c r="K327" t="s">
        <v>72</v>
      </c>
      <c r="L327" t="s">
        <v>68</v>
      </c>
      <c r="M327" t="s">
        <v>68</v>
      </c>
    </row>
    <row r="328" spans="1:13">
      <c r="A328">
        <v>295</v>
      </c>
      <c r="B328" t="s">
        <v>399</v>
      </c>
      <c r="C328" t="s">
        <v>294</v>
      </c>
      <c r="D328" t="s">
        <v>295</v>
      </c>
      <c r="E328" t="s">
        <v>68</v>
      </c>
      <c r="F328" t="s">
        <v>68</v>
      </c>
      <c r="G328" t="s">
        <v>185</v>
      </c>
      <c r="H328" t="s">
        <v>91</v>
      </c>
      <c r="I328" t="s">
        <v>70</v>
      </c>
      <c r="J328" t="s">
        <v>71</v>
      </c>
      <c r="K328" t="s">
        <v>72</v>
      </c>
      <c r="L328" t="s">
        <v>68</v>
      </c>
      <c r="M328" t="s">
        <v>68</v>
      </c>
    </row>
    <row r="329" spans="1:13">
      <c r="A329">
        <v>296</v>
      </c>
      <c r="B329" t="s">
        <v>400</v>
      </c>
      <c r="C329" t="s">
        <v>294</v>
      </c>
      <c r="D329" t="s">
        <v>295</v>
      </c>
      <c r="E329" t="s">
        <v>68</v>
      </c>
      <c r="F329" t="s">
        <v>68</v>
      </c>
      <c r="G329" t="s">
        <v>185</v>
      </c>
      <c r="H329" t="s">
        <v>91</v>
      </c>
      <c r="I329" t="s">
        <v>70</v>
      </c>
      <c r="J329" t="s">
        <v>71</v>
      </c>
      <c r="K329" t="s">
        <v>72</v>
      </c>
      <c r="L329" t="s">
        <v>68</v>
      </c>
      <c r="M329" t="s">
        <v>68</v>
      </c>
    </row>
    <row r="330" spans="1:13">
      <c r="A330">
        <v>297</v>
      </c>
      <c r="B330" t="s">
        <v>401</v>
      </c>
      <c r="C330" t="s">
        <v>294</v>
      </c>
      <c r="D330" t="s">
        <v>295</v>
      </c>
      <c r="E330" t="s">
        <v>68</v>
      </c>
      <c r="F330" t="s">
        <v>68</v>
      </c>
      <c r="G330" t="s">
        <v>185</v>
      </c>
      <c r="H330" t="s">
        <v>91</v>
      </c>
      <c r="I330" t="s">
        <v>70</v>
      </c>
      <c r="J330" t="s">
        <v>71</v>
      </c>
      <c r="K330" t="s">
        <v>72</v>
      </c>
      <c r="L330" t="s">
        <v>68</v>
      </c>
      <c r="M330" t="s">
        <v>68</v>
      </c>
    </row>
    <row r="331" spans="1:13">
      <c r="A331">
        <v>298</v>
      </c>
      <c r="B331" t="s">
        <v>402</v>
      </c>
      <c r="C331" t="s">
        <v>299</v>
      </c>
      <c r="D331" t="s">
        <v>300</v>
      </c>
      <c r="E331" t="s">
        <v>68</v>
      </c>
      <c r="F331" t="s">
        <v>68</v>
      </c>
      <c r="G331" t="s">
        <v>185</v>
      </c>
      <c r="H331" t="s">
        <v>91</v>
      </c>
      <c r="I331" t="s">
        <v>70</v>
      </c>
      <c r="J331" t="s">
        <v>71</v>
      </c>
      <c r="K331" t="s">
        <v>72</v>
      </c>
      <c r="L331" t="s">
        <v>68</v>
      </c>
      <c r="M331" t="s">
        <v>68</v>
      </c>
    </row>
    <row r="332" spans="1:13">
      <c r="A332">
        <v>299</v>
      </c>
      <c r="B332" t="s">
        <v>403</v>
      </c>
      <c r="C332" t="s">
        <v>299</v>
      </c>
      <c r="D332" t="s">
        <v>300</v>
      </c>
      <c r="E332" t="s">
        <v>68</v>
      </c>
      <c r="F332" t="s">
        <v>68</v>
      </c>
      <c r="G332" t="s">
        <v>185</v>
      </c>
      <c r="H332" t="s">
        <v>91</v>
      </c>
      <c r="I332" t="s">
        <v>70</v>
      </c>
      <c r="J332" t="s">
        <v>71</v>
      </c>
      <c r="K332" t="s">
        <v>72</v>
      </c>
      <c r="L332" t="s">
        <v>68</v>
      </c>
      <c r="M332" t="s">
        <v>68</v>
      </c>
    </row>
    <row r="333" spans="1:13">
      <c r="A333">
        <v>300</v>
      </c>
      <c r="B333" t="s">
        <v>404</v>
      </c>
      <c r="C333" t="s">
        <v>299</v>
      </c>
      <c r="D333" t="s">
        <v>300</v>
      </c>
      <c r="E333" t="s">
        <v>68</v>
      </c>
      <c r="F333" t="s">
        <v>68</v>
      </c>
      <c r="G333" t="s">
        <v>185</v>
      </c>
      <c r="H333" t="s">
        <v>91</v>
      </c>
      <c r="I333" t="s">
        <v>70</v>
      </c>
      <c r="J333" t="s">
        <v>71</v>
      </c>
      <c r="K333" t="s">
        <v>72</v>
      </c>
      <c r="L333" t="s">
        <v>68</v>
      </c>
      <c r="M333" t="s">
        <v>68</v>
      </c>
    </row>
    <row r="334" spans="1:13">
      <c r="A334">
        <v>301</v>
      </c>
      <c r="B334" t="s">
        <v>405</v>
      </c>
      <c r="C334" s="2">
        <v>4</v>
      </c>
      <c r="D334" t="s">
        <v>304</v>
      </c>
      <c r="E334" t="s">
        <v>68</v>
      </c>
      <c r="F334" t="s">
        <v>68</v>
      </c>
      <c r="G334" t="s">
        <v>185</v>
      </c>
      <c r="H334" t="s">
        <v>91</v>
      </c>
      <c r="I334" t="s">
        <v>70</v>
      </c>
      <c r="J334" t="s">
        <v>71</v>
      </c>
      <c r="K334" t="s">
        <v>72</v>
      </c>
      <c r="L334" t="s">
        <v>68</v>
      </c>
      <c r="M334" t="s">
        <v>68</v>
      </c>
    </row>
    <row r="335" spans="1:13">
      <c r="A335">
        <v>302</v>
      </c>
      <c r="B335" t="s">
        <v>406</v>
      </c>
      <c r="C335" s="2">
        <v>4</v>
      </c>
      <c r="D335" t="s">
        <v>304</v>
      </c>
      <c r="E335" t="s">
        <v>68</v>
      </c>
      <c r="F335" t="s">
        <v>68</v>
      </c>
      <c r="G335" t="s">
        <v>185</v>
      </c>
      <c r="H335" t="s">
        <v>91</v>
      </c>
      <c r="I335" t="s">
        <v>70</v>
      </c>
      <c r="J335" t="s">
        <v>71</v>
      </c>
      <c r="K335" t="s">
        <v>72</v>
      </c>
      <c r="L335" t="s">
        <v>68</v>
      </c>
      <c r="M335" t="s">
        <v>68</v>
      </c>
    </row>
    <row r="336" spans="1:13">
      <c r="A336">
        <v>303</v>
      </c>
      <c r="B336" t="s">
        <v>407</v>
      </c>
      <c r="C336" s="2">
        <v>4</v>
      </c>
      <c r="D336" t="s">
        <v>304</v>
      </c>
      <c r="E336" t="s">
        <v>68</v>
      </c>
      <c r="F336" t="s">
        <v>68</v>
      </c>
      <c r="G336" t="s">
        <v>185</v>
      </c>
      <c r="H336" t="s">
        <v>91</v>
      </c>
      <c r="I336" t="s">
        <v>70</v>
      </c>
      <c r="J336" t="s">
        <v>71</v>
      </c>
      <c r="K336" t="s">
        <v>72</v>
      </c>
      <c r="L336" t="s">
        <v>68</v>
      </c>
      <c r="M336" t="s">
        <v>68</v>
      </c>
    </row>
    <row r="337" spans="1:13">
      <c r="A337">
        <v>304</v>
      </c>
      <c r="B337" t="s">
        <v>408</v>
      </c>
      <c r="C337" t="s">
        <v>308</v>
      </c>
      <c r="D337" t="s">
        <v>309</v>
      </c>
      <c r="E337" t="s">
        <v>68</v>
      </c>
      <c r="F337" t="s">
        <v>68</v>
      </c>
      <c r="G337" t="s">
        <v>185</v>
      </c>
      <c r="H337" t="s">
        <v>91</v>
      </c>
      <c r="I337" t="s">
        <v>70</v>
      </c>
      <c r="J337" t="s">
        <v>71</v>
      </c>
      <c r="K337" t="s">
        <v>72</v>
      </c>
      <c r="L337" t="s">
        <v>68</v>
      </c>
      <c r="M337" t="s">
        <v>68</v>
      </c>
    </row>
    <row r="338" spans="1:13">
      <c r="A338">
        <v>305</v>
      </c>
      <c r="B338" t="s">
        <v>409</v>
      </c>
      <c r="C338" t="s">
        <v>308</v>
      </c>
      <c r="D338" t="s">
        <v>309</v>
      </c>
      <c r="E338" t="s">
        <v>68</v>
      </c>
      <c r="F338" t="s">
        <v>68</v>
      </c>
      <c r="G338" t="s">
        <v>185</v>
      </c>
      <c r="H338" t="s">
        <v>91</v>
      </c>
      <c r="I338" t="s">
        <v>70</v>
      </c>
      <c r="J338" t="s">
        <v>71</v>
      </c>
      <c r="K338" t="s">
        <v>72</v>
      </c>
      <c r="L338" t="s">
        <v>68</v>
      </c>
      <c r="M338" t="s">
        <v>68</v>
      </c>
    </row>
    <row r="339" spans="1:13">
      <c r="A339">
        <v>306</v>
      </c>
      <c r="B339" t="s">
        <v>410</v>
      </c>
      <c r="C339" t="s">
        <v>308</v>
      </c>
      <c r="D339" t="s">
        <v>309</v>
      </c>
      <c r="E339" t="s">
        <v>68</v>
      </c>
      <c r="F339" t="s">
        <v>68</v>
      </c>
      <c r="G339" t="s">
        <v>185</v>
      </c>
      <c r="H339" t="s">
        <v>91</v>
      </c>
      <c r="I339" t="s">
        <v>70</v>
      </c>
      <c r="J339" t="s">
        <v>71</v>
      </c>
      <c r="K339" t="s">
        <v>72</v>
      </c>
      <c r="L339" t="s">
        <v>68</v>
      </c>
      <c r="M339" t="s">
        <v>68</v>
      </c>
    </row>
    <row r="340" spans="1:13">
      <c r="A340">
        <v>307</v>
      </c>
      <c r="B340" t="s">
        <v>411</v>
      </c>
      <c r="C340" t="s">
        <v>313</v>
      </c>
      <c r="D340" t="s">
        <v>314</v>
      </c>
      <c r="E340" t="s">
        <v>68</v>
      </c>
      <c r="F340" t="s">
        <v>68</v>
      </c>
      <c r="G340" t="s">
        <v>185</v>
      </c>
      <c r="H340" t="s">
        <v>91</v>
      </c>
      <c r="I340" t="s">
        <v>70</v>
      </c>
      <c r="J340" t="s">
        <v>71</v>
      </c>
      <c r="K340" t="s">
        <v>72</v>
      </c>
      <c r="L340" t="s">
        <v>68</v>
      </c>
      <c r="M340" t="s">
        <v>68</v>
      </c>
    </row>
    <row r="341" spans="1:13">
      <c r="A341">
        <v>308</v>
      </c>
      <c r="B341" t="s">
        <v>412</v>
      </c>
      <c r="C341" t="s">
        <v>313</v>
      </c>
      <c r="D341" t="s">
        <v>314</v>
      </c>
      <c r="E341" t="s">
        <v>68</v>
      </c>
      <c r="F341" t="s">
        <v>68</v>
      </c>
      <c r="G341" t="s">
        <v>185</v>
      </c>
      <c r="H341" t="s">
        <v>91</v>
      </c>
      <c r="I341" t="s">
        <v>70</v>
      </c>
      <c r="J341" t="s">
        <v>71</v>
      </c>
      <c r="K341" t="s">
        <v>72</v>
      </c>
      <c r="L341" t="s">
        <v>68</v>
      </c>
      <c r="M341" t="s">
        <v>68</v>
      </c>
    </row>
    <row r="342" spans="1:13">
      <c r="A342">
        <v>309</v>
      </c>
      <c r="B342" t="s">
        <v>413</v>
      </c>
      <c r="C342" t="s">
        <v>313</v>
      </c>
      <c r="D342" t="s">
        <v>314</v>
      </c>
      <c r="E342" t="s">
        <v>68</v>
      </c>
      <c r="F342" t="s">
        <v>68</v>
      </c>
      <c r="G342" t="s">
        <v>185</v>
      </c>
      <c r="H342" t="s">
        <v>91</v>
      </c>
      <c r="I342" t="s">
        <v>70</v>
      </c>
      <c r="J342" t="s">
        <v>71</v>
      </c>
      <c r="K342" t="s">
        <v>72</v>
      </c>
      <c r="L342" t="s">
        <v>68</v>
      </c>
      <c r="M342" t="s">
        <v>68</v>
      </c>
    </row>
    <row r="343" spans="1:13">
      <c r="A343">
        <v>310</v>
      </c>
      <c r="B343" t="s">
        <v>414</v>
      </c>
      <c r="C343" t="s">
        <v>318</v>
      </c>
      <c r="D343" t="s">
        <v>67</v>
      </c>
      <c r="E343" t="s">
        <v>68</v>
      </c>
      <c r="F343" t="s">
        <v>68</v>
      </c>
      <c r="G343" t="s">
        <v>185</v>
      </c>
      <c r="H343" t="s">
        <v>91</v>
      </c>
      <c r="I343" t="s">
        <v>70</v>
      </c>
      <c r="J343" t="s">
        <v>71</v>
      </c>
      <c r="K343" t="s">
        <v>72</v>
      </c>
      <c r="L343" t="s">
        <v>68</v>
      </c>
      <c r="M343" t="s">
        <v>68</v>
      </c>
    </row>
    <row r="344" spans="1:13">
      <c r="A344">
        <v>311</v>
      </c>
      <c r="B344" t="s">
        <v>415</v>
      </c>
      <c r="C344" t="s">
        <v>318</v>
      </c>
      <c r="D344" t="s">
        <v>67</v>
      </c>
      <c r="E344" t="s">
        <v>68</v>
      </c>
      <c r="F344" t="s">
        <v>68</v>
      </c>
      <c r="G344" t="s">
        <v>185</v>
      </c>
      <c r="H344" t="s">
        <v>91</v>
      </c>
      <c r="I344" t="s">
        <v>70</v>
      </c>
      <c r="J344" t="s">
        <v>71</v>
      </c>
      <c r="K344" t="s">
        <v>72</v>
      </c>
      <c r="L344" t="s">
        <v>68</v>
      </c>
      <c r="M344" t="s">
        <v>68</v>
      </c>
    </row>
    <row r="345" spans="1:13">
      <c r="A345">
        <v>312</v>
      </c>
      <c r="B345" t="s">
        <v>416</v>
      </c>
      <c r="C345" t="s">
        <v>318</v>
      </c>
      <c r="D345" t="s">
        <v>67</v>
      </c>
      <c r="E345" t="s">
        <v>68</v>
      </c>
      <c r="F345" t="s">
        <v>68</v>
      </c>
      <c r="G345" t="s">
        <v>185</v>
      </c>
      <c r="H345" t="s">
        <v>91</v>
      </c>
      <c r="I345" t="s">
        <v>70</v>
      </c>
      <c r="J345" t="s">
        <v>71</v>
      </c>
      <c r="K345" t="s">
        <v>72</v>
      </c>
      <c r="L345" t="s">
        <v>68</v>
      </c>
      <c r="M345" t="s">
        <v>68</v>
      </c>
    </row>
    <row r="346" spans="1:13">
      <c r="A346">
        <v>313</v>
      </c>
      <c r="B346" t="s">
        <v>417</v>
      </c>
      <c r="C346" s="2">
        <v>3</v>
      </c>
      <c r="D346" t="s">
        <v>285</v>
      </c>
      <c r="E346" t="s">
        <v>68</v>
      </c>
      <c r="F346" t="s">
        <v>68</v>
      </c>
      <c r="G346" t="s">
        <v>210</v>
      </c>
      <c r="H346" t="s">
        <v>96</v>
      </c>
      <c r="I346" t="s">
        <v>70</v>
      </c>
      <c r="J346" t="s">
        <v>71</v>
      </c>
      <c r="K346" t="s">
        <v>72</v>
      </c>
      <c r="L346" t="s">
        <v>68</v>
      </c>
      <c r="M346" t="s">
        <v>68</v>
      </c>
    </row>
    <row r="347" spans="1:13">
      <c r="A347">
        <v>314</v>
      </c>
      <c r="B347" t="s">
        <v>418</v>
      </c>
      <c r="C347" s="2">
        <v>3</v>
      </c>
      <c r="D347" t="s">
        <v>285</v>
      </c>
      <c r="E347" t="s">
        <v>68</v>
      </c>
      <c r="F347" t="s">
        <v>68</v>
      </c>
      <c r="G347" t="s">
        <v>210</v>
      </c>
      <c r="H347" t="s">
        <v>96</v>
      </c>
      <c r="I347" t="s">
        <v>70</v>
      </c>
      <c r="J347" t="s">
        <v>71</v>
      </c>
      <c r="K347" t="s">
        <v>72</v>
      </c>
      <c r="L347" t="s">
        <v>68</v>
      </c>
      <c r="M347" t="s">
        <v>68</v>
      </c>
    </row>
    <row r="348" spans="1:13">
      <c r="A348">
        <v>315</v>
      </c>
      <c r="B348" t="s">
        <v>419</v>
      </c>
      <c r="C348" s="2">
        <v>3</v>
      </c>
      <c r="D348" t="s">
        <v>285</v>
      </c>
      <c r="E348" t="s">
        <v>68</v>
      </c>
      <c r="F348" t="s">
        <v>68</v>
      </c>
      <c r="G348" t="s">
        <v>210</v>
      </c>
      <c r="H348" t="s">
        <v>96</v>
      </c>
      <c r="I348" t="s">
        <v>70</v>
      </c>
      <c r="J348" t="s">
        <v>71</v>
      </c>
      <c r="K348" t="s">
        <v>72</v>
      </c>
      <c r="L348" t="s">
        <v>68</v>
      </c>
      <c r="M348" t="s">
        <v>68</v>
      </c>
    </row>
    <row r="349" spans="1:13">
      <c r="A349">
        <v>316</v>
      </c>
      <c r="B349" t="s">
        <v>420</v>
      </c>
      <c r="C349" t="s">
        <v>289</v>
      </c>
      <c r="D349" t="s">
        <v>290</v>
      </c>
      <c r="E349" t="s">
        <v>68</v>
      </c>
      <c r="F349" t="s">
        <v>68</v>
      </c>
      <c r="G349" t="s">
        <v>210</v>
      </c>
      <c r="H349" t="s">
        <v>96</v>
      </c>
      <c r="I349" t="s">
        <v>70</v>
      </c>
      <c r="J349" t="s">
        <v>71</v>
      </c>
      <c r="K349" t="s">
        <v>72</v>
      </c>
      <c r="L349" t="s">
        <v>68</v>
      </c>
      <c r="M349" t="s">
        <v>68</v>
      </c>
    </row>
    <row r="350" spans="1:13">
      <c r="A350">
        <v>317</v>
      </c>
      <c r="B350" t="s">
        <v>421</v>
      </c>
      <c r="C350" t="s">
        <v>289</v>
      </c>
      <c r="D350" t="s">
        <v>290</v>
      </c>
      <c r="E350" t="s">
        <v>68</v>
      </c>
      <c r="F350" t="s">
        <v>68</v>
      </c>
      <c r="G350" t="s">
        <v>210</v>
      </c>
      <c r="H350" t="s">
        <v>96</v>
      </c>
      <c r="I350" t="s">
        <v>70</v>
      </c>
      <c r="J350" t="s">
        <v>71</v>
      </c>
      <c r="K350" t="s">
        <v>72</v>
      </c>
      <c r="L350" t="s">
        <v>68</v>
      </c>
      <c r="M350" t="s">
        <v>68</v>
      </c>
    </row>
    <row r="351" spans="1:13">
      <c r="A351">
        <v>318</v>
      </c>
      <c r="B351" t="s">
        <v>422</v>
      </c>
      <c r="C351" t="s">
        <v>289</v>
      </c>
      <c r="D351" t="s">
        <v>290</v>
      </c>
      <c r="E351" t="s">
        <v>68</v>
      </c>
      <c r="F351" t="s">
        <v>68</v>
      </c>
      <c r="G351" t="s">
        <v>210</v>
      </c>
      <c r="H351" t="s">
        <v>96</v>
      </c>
      <c r="I351" t="s">
        <v>70</v>
      </c>
      <c r="J351" t="s">
        <v>71</v>
      </c>
      <c r="K351" t="s">
        <v>72</v>
      </c>
      <c r="L351" t="s">
        <v>68</v>
      </c>
      <c r="M351" t="s">
        <v>68</v>
      </c>
    </row>
    <row r="352" spans="1:13">
      <c r="A352">
        <v>319</v>
      </c>
      <c r="B352" t="s">
        <v>423</v>
      </c>
      <c r="C352" t="s">
        <v>294</v>
      </c>
      <c r="D352" t="s">
        <v>295</v>
      </c>
      <c r="E352" t="s">
        <v>68</v>
      </c>
      <c r="F352" t="s">
        <v>68</v>
      </c>
      <c r="G352" t="s">
        <v>210</v>
      </c>
      <c r="H352" t="s">
        <v>96</v>
      </c>
      <c r="I352" t="s">
        <v>70</v>
      </c>
      <c r="J352" t="s">
        <v>71</v>
      </c>
      <c r="K352" t="s">
        <v>72</v>
      </c>
      <c r="L352" t="s">
        <v>68</v>
      </c>
      <c r="M352" t="s">
        <v>68</v>
      </c>
    </row>
    <row r="353" spans="1:13">
      <c r="A353">
        <v>320</v>
      </c>
      <c r="B353" t="s">
        <v>424</v>
      </c>
      <c r="C353" t="s">
        <v>294</v>
      </c>
      <c r="D353" t="s">
        <v>295</v>
      </c>
      <c r="E353" t="s">
        <v>68</v>
      </c>
      <c r="F353" t="s">
        <v>68</v>
      </c>
      <c r="G353" t="s">
        <v>210</v>
      </c>
      <c r="H353" t="s">
        <v>96</v>
      </c>
      <c r="I353" t="s">
        <v>70</v>
      </c>
      <c r="J353" t="s">
        <v>71</v>
      </c>
      <c r="K353" t="s">
        <v>72</v>
      </c>
      <c r="L353" t="s">
        <v>68</v>
      </c>
      <c r="M353" t="s">
        <v>68</v>
      </c>
    </row>
    <row r="354" spans="1:13">
      <c r="A354">
        <v>321</v>
      </c>
      <c r="B354" t="s">
        <v>425</v>
      </c>
      <c r="C354" t="s">
        <v>294</v>
      </c>
      <c r="D354" t="s">
        <v>295</v>
      </c>
      <c r="E354" t="s">
        <v>68</v>
      </c>
      <c r="F354" t="s">
        <v>68</v>
      </c>
      <c r="G354" t="s">
        <v>210</v>
      </c>
      <c r="H354" t="s">
        <v>96</v>
      </c>
      <c r="I354" t="s">
        <v>70</v>
      </c>
      <c r="J354" t="s">
        <v>71</v>
      </c>
      <c r="K354" t="s">
        <v>72</v>
      </c>
      <c r="L354" t="s">
        <v>68</v>
      </c>
      <c r="M354" t="s">
        <v>68</v>
      </c>
    </row>
    <row r="355" spans="1:13">
      <c r="A355">
        <v>322</v>
      </c>
      <c r="B355" t="s">
        <v>426</v>
      </c>
      <c r="C355" t="s">
        <v>299</v>
      </c>
      <c r="D355" t="s">
        <v>300</v>
      </c>
      <c r="E355" t="s">
        <v>68</v>
      </c>
      <c r="F355" t="s">
        <v>68</v>
      </c>
      <c r="G355" t="s">
        <v>210</v>
      </c>
      <c r="H355" t="s">
        <v>96</v>
      </c>
      <c r="I355" t="s">
        <v>70</v>
      </c>
      <c r="J355" t="s">
        <v>71</v>
      </c>
      <c r="K355" t="s">
        <v>72</v>
      </c>
      <c r="L355" t="s">
        <v>68</v>
      </c>
      <c r="M355" t="s">
        <v>68</v>
      </c>
    </row>
    <row r="356" spans="1:13">
      <c r="A356">
        <v>323</v>
      </c>
      <c r="B356" t="s">
        <v>427</v>
      </c>
      <c r="C356" t="s">
        <v>299</v>
      </c>
      <c r="D356" t="s">
        <v>300</v>
      </c>
      <c r="E356" t="s">
        <v>68</v>
      </c>
      <c r="F356" t="s">
        <v>68</v>
      </c>
      <c r="G356" t="s">
        <v>210</v>
      </c>
      <c r="H356" t="s">
        <v>96</v>
      </c>
      <c r="I356" t="s">
        <v>70</v>
      </c>
      <c r="J356" t="s">
        <v>71</v>
      </c>
      <c r="K356" t="s">
        <v>72</v>
      </c>
      <c r="L356" t="s">
        <v>68</v>
      </c>
      <c r="M356" t="s">
        <v>68</v>
      </c>
    </row>
    <row r="357" spans="1:13">
      <c r="A357">
        <v>324</v>
      </c>
      <c r="B357" t="s">
        <v>428</v>
      </c>
      <c r="C357" t="s">
        <v>299</v>
      </c>
      <c r="D357" t="s">
        <v>300</v>
      </c>
      <c r="E357" t="s">
        <v>68</v>
      </c>
      <c r="F357" t="s">
        <v>68</v>
      </c>
      <c r="G357" t="s">
        <v>210</v>
      </c>
      <c r="H357" t="s">
        <v>96</v>
      </c>
      <c r="I357" t="s">
        <v>70</v>
      </c>
      <c r="J357" t="s">
        <v>71</v>
      </c>
      <c r="K357" t="s">
        <v>72</v>
      </c>
      <c r="L357" t="s">
        <v>68</v>
      </c>
      <c r="M357" t="s">
        <v>68</v>
      </c>
    </row>
    <row r="358" spans="1:13">
      <c r="A358">
        <v>325</v>
      </c>
      <c r="B358" t="s">
        <v>429</v>
      </c>
      <c r="C358" s="2">
        <v>4</v>
      </c>
      <c r="D358" t="s">
        <v>304</v>
      </c>
      <c r="E358" t="s">
        <v>68</v>
      </c>
      <c r="F358" t="s">
        <v>68</v>
      </c>
      <c r="G358" t="s">
        <v>210</v>
      </c>
      <c r="H358" t="s">
        <v>96</v>
      </c>
      <c r="I358" t="s">
        <v>70</v>
      </c>
      <c r="J358" t="s">
        <v>71</v>
      </c>
      <c r="K358" t="s">
        <v>72</v>
      </c>
      <c r="L358" t="s">
        <v>68</v>
      </c>
      <c r="M358" t="s">
        <v>68</v>
      </c>
    </row>
    <row r="359" spans="1:13">
      <c r="A359">
        <v>326</v>
      </c>
      <c r="B359" t="s">
        <v>430</v>
      </c>
      <c r="C359" s="2">
        <v>4</v>
      </c>
      <c r="D359" t="s">
        <v>304</v>
      </c>
      <c r="E359" t="s">
        <v>68</v>
      </c>
      <c r="F359" t="s">
        <v>68</v>
      </c>
      <c r="G359" t="s">
        <v>210</v>
      </c>
      <c r="H359" t="s">
        <v>96</v>
      </c>
      <c r="I359" t="s">
        <v>70</v>
      </c>
      <c r="J359" t="s">
        <v>71</v>
      </c>
      <c r="K359" t="s">
        <v>72</v>
      </c>
      <c r="L359" t="s">
        <v>68</v>
      </c>
      <c r="M359" t="s">
        <v>68</v>
      </c>
    </row>
    <row r="360" spans="1:13">
      <c r="A360">
        <v>327</v>
      </c>
      <c r="B360" t="s">
        <v>431</v>
      </c>
      <c r="C360" s="2">
        <v>4</v>
      </c>
      <c r="D360" t="s">
        <v>304</v>
      </c>
      <c r="E360" t="s">
        <v>68</v>
      </c>
      <c r="F360" t="s">
        <v>68</v>
      </c>
      <c r="G360" t="s">
        <v>210</v>
      </c>
      <c r="H360" t="s">
        <v>96</v>
      </c>
      <c r="I360" t="s">
        <v>70</v>
      </c>
      <c r="J360" t="s">
        <v>71</v>
      </c>
      <c r="K360" t="s">
        <v>72</v>
      </c>
      <c r="L360" t="s">
        <v>68</v>
      </c>
      <c r="M360" t="s">
        <v>68</v>
      </c>
    </row>
    <row r="361" spans="1:13">
      <c r="A361">
        <v>328</v>
      </c>
      <c r="B361" t="s">
        <v>432</v>
      </c>
      <c r="C361" t="s">
        <v>308</v>
      </c>
      <c r="D361" t="s">
        <v>309</v>
      </c>
      <c r="E361" t="s">
        <v>68</v>
      </c>
      <c r="F361" t="s">
        <v>68</v>
      </c>
      <c r="G361" t="s">
        <v>210</v>
      </c>
      <c r="H361" t="s">
        <v>96</v>
      </c>
      <c r="I361" t="s">
        <v>70</v>
      </c>
      <c r="J361" t="s">
        <v>71</v>
      </c>
      <c r="K361" t="s">
        <v>72</v>
      </c>
      <c r="L361" t="s">
        <v>68</v>
      </c>
      <c r="M361" t="s">
        <v>68</v>
      </c>
    </row>
    <row r="362" spans="1:13">
      <c r="A362">
        <v>329</v>
      </c>
      <c r="B362" t="s">
        <v>433</v>
      </c>
      <c r="C362" t="s">
        <v>308</v>
      </c>
      <c r="D362" t="s">
        <v>309</v>
      </c>
      <c r="E362" t="s">
        <v>68</v>
      </c>
      <c r="F362" t="s">
        <v>68</v>
      </c>
      <c r="G362" t="s">
        <v>210</v>
      </c>
      <c r="H362" t="s">
        <v>96</v>
      </c>
      <c r="I362" t="s">
        <v>70</v>
      </c>
      <c r="J362" t="s">
        <v>71</v>
      </c>
      <c r="K362" t="s">
        <v>72</v>
      </c>
      <c r="L362" t="s">
        <v>68</v>
      </c>
      <c r="M362" t="s">
        <v>68</v>
      </c>
    </row>
    <row r="363" spans="1:13">
      <c r="A363">
        <v>330</v>
      </c>
      <c r="B363" t="s">
        <v>434</v>
      </c>
      <c r="C363" t="s">
        <v>308</v>
      </c>
      <c r="D363" t="s">
        <v>309</v>
      </c>
      <c r="E363" t="s">
        <v>68</v>
      </c>
      <c r="F363" t="s">
        <v>68</v>
      </c>
      <c r="G363" t="s">
        <v>210</v>
      </c>
      <c r="H363" t="s">
        <v>96</v>
      </c>
      <c r="I363" t="s">
        <v>70</v>
      </c>
      <c r="J363" t="s">
        <v>71</v>
      </c>
      <c r="K363" t="s">
        <v>72</v>
      </c>
      <c r="L363" t="s">
        <v>68</v>
      </c>
      <c r="M363" t="s">
        <v>68</v>
      </c>
    </row>
    <row r="364" spans="1:13">
      <c r="A364">
        <v>331</v>
      </c>
      <c r="B364" t="s">
        <v>435</v>
      </c>
      <c r="C364" t="s">
        <v>313</v>
      </c>
      <c r="D364" t="s">
        <v>314</v>
      </c>
      <c r="E364" t="s">
        <v>68</v>
      </c>
      <c r="F364" t="s">
        <v>68</v>
      </c>
      <c r="G364" t="s">
        <v>210</v>
      </c>
      <c r="H364" t="s">
        <v>96</v>
      </c>
      <c r="I364" t="s">
        <v>70</v>
      </c>
      <c r="J364" t="s">
        <v>71</v>
      </c>
      <c r="K364" t="s">
        <v>72</v>
      </c>
      <c r="L364" t="s">
        <v>68</v>
      </c>
      <c r="M364" t="s">
        <v>68</v>
      </c>
    </row>
    <row r="365" spans="1:13">
      <c r="A365">
        <v>332</v>
      </c>
      <c r="B365" t="s">
        <v>436</v>
      </c>
      <c r="C365" t="s">
        <v>313</v>
      </c>
      <c r="D365" t="s">
        <v>314</v>
      </c>
      <c r="E365" t="s">
        <v>68</v>
      </c>
      <c r="F365" t="s">
        <v>68</v>
      </c>
      <c r="G365" t="s">
        <v>210</v>
      </c>
      <c r="H365" t="s">
        <v>96</v>
      </c>
      <c r="I365" t="s">
        <v>70</v>
      </c>
      <c r="J365" t="s">
        <v>71</v>
      </c>
      <c r="K365" t="s">
        <v>72</v>
      </c>
      <c r="L365" t="s">
        <v>68</v>
      </c>
      <c r="M365" t="s">
        <v>68</v>
      </c>
    </row>
    <row r="366" spans="1:13">
      <c r="A366">
        <v>333</v>
      </c>
      <c r="B366" t="s">
        <v>437</v>
      </c>
      <c r="C366" t="s">
        <v>313</v>
      </c>
      <c r="D366" t="s">
        <v>314</v>
      </c>
      <c r="E366" t="s">
        <v>68</v>
      </c>
      <c r="F366" t="s">
        <v>68</v>
      </c>
      <c r="G366" t="s">
        <v>210</v>
      </c>
      <c r="H366" t="s">
        <v>96</v>
      </c>
      <c r="I366" t="s">
        <v>70</v>
      </c>
      <c r="J366" t="s">
        <v>71</v>
      </c>
      <c r="K366" t="s">
        <v>72</v>
      </c>
      <c r="L366" t="s">
        <v>68</v>
      </c>
      <c r="M366" t="s">
        <v>68</v>
      </c>
    </row>
    <row r="367" spans="1:13">
      <c r="A367">
        <v>334</v>
      </c>
      <c r="B367" t="s">
        <v>438</v>
      </c>
      <c r="C367" t="s">
        <v>318</v>
      </c>
      <c r="D367" t="s">
        <v>67</v>
      </c>
      <c r="E367" t="s">
        <v>68</v>
      </c>
      <c r="F367" t="s">
        <v>68</v>
      </c>
      <c r="G367" t="s">
        <v>210</v>
      </c>
      <c r="H367" t="s">
        <v>96</v>
      </c>
      <c r="I367" t="s">
        <v>70</v>
      </c>
      <c r="J367" t="s">
        <v>71</v>
      </c>
      <c r="K367" t="s">
        <v>72</v>
      </c>
      <c r="L367" t="s">
        <v>68</v>
      </c>
      <c r="M367" t="s">
        <v>68</v>
      </c>
    </row>
    <row r="368" spans="1:13">
      <c r="A368">
        <v>335</v>
      </c>
      <c r="B368" t="s">
        <v>439</v>
      </c>
      <c r="C368" t="s">
        <v>318</v>
      </c>
      <c r="D368" t="s">
        <v>67</v>
      </c>
      <c r="E368" t="s">
        <v>68</v>
      </c>
      <c r="F368" t="s">
        <v>68</v>
      </c>
      <c r="G368" t="s">
        <v>210</v>
      </c>
      <c r="H368" t="s">
        <v>96</v>
      </c>
      <c r="I368" t="s">
        <v>70</v>
      </c>
      <c r="J368" t="s">
        <v>71</v>
      </c>
      <c r="K368" t="s">
        <v>72</v>
      </c>
      <c r="L368" t="s">
        <v>68</v>
      </c>
      <c r="M368" t="s">
        <v>68</v>
      </c>
    </row>
    <row r="369" spans="1:13">
      <c r="A369">
        <v>336</v>
      </c>
      <c r="B369" t="s">
        <v>440</v>
      </c>
      <c r="C369" t="s">
        <v>318</v>
      </c>
      <c r="D369" t="s">
        <v>67</v>
      </c>
      <c r="E369" t="s">
        <v>68</v>
      </c>
      <c r="F369" t="s">
        <v>68</v>
      </c>
      <c r="G369" t="s">
        <v>210</v>
      </c>
      <c r="H369" t="s">
        <v>96</v>
      </c>
      <c r="I369" t="s">
        <v>70</v>
      </c>
      <c r="J369" t="s">
        <v>71</v>
      </c>
      <c r="K369" t="s">
        <v>72</v>
      </c>
      <c r="L369" t="s">
        <v>68</v>
      </c>
      <c r="M369" t="s">
        <v>68</v>
      </c>
    </row>
    <row r="370" spans="1:13">
      <c r="A370">
        <v>337</v>
      </c>
      <c r="B370" t="s">
        <v>441</v>
      </c>
      <c r="C370" s="2">
        <v>3</v>
      </c>
      <c r="D370" t="s">
        <v>285</v>
      </c>
      <c r="E370" t="s">
        <v>68</v>
      </c>
      <c r="F370" t="s">
        <v>68</v>
      </c>
      <c r="G370" t="s">
        <v>235</v>
      </c>
      <c r="H370" t="s">
        <v>101</v>
      </c>
      <c r="I370" t="s">
        <v>70</v>
      </c>
      <c r="J370" t="s">
        <v>71</v>
      </c>
      <c r="K370" t="s">
        <v>72</v>
      </c>
      <c r="L370" t="s">
        <v>68</v>
      </c>
      <c r="M370" t="s">
        <v>68</v>
      </c>
    </row>
    <row r="371" spans="1:13">
      <c r="A371">
        <v>338</v>
      </c>
      <c r="B371" t="s">
        <v>442</v>
      </c>
      <c r="C371" s="2">
        <v>3</v>
      </c>
      <c r="D371" t="s">
        <v>285</v>
      </c>
      <c r="E371" t="s">
        <v>68</v>
      </c>
      <c r="F371" t="s">
        <v>68</v>
      </c>
      <c r="G371" t="s">
        <v>235</v>
      </c>
      <c r="H371" t="s">
        <v>101</v>
      </c>
      <c r="I371" t="s">
        <v>70</v>
      </c>
      <c r="J371" t="s">
        <v>71</v>
      </c>
      <c r="K371" t="s">
        <v>72</v>
      </c>
      <c r="L371" t="s">
        <v>68</v>
      </c>
      <c r="M371" t="s">
        <v>68</v>
      </c>
    </row>
    <row r="372" spans="1:13">
      <c r="A372">
        <v>339</v>
      </c>
      <c r="B372" t="s">
        <v>443</v>
      </c>
      <c r="C372" s="2">
        <v>3</v>
      </c>
      <c r="D372" t="s">
        <v>285</v>
      </c>
      <c r="E372" t="s">
        <v>68</v>
      </c>
      <c r="F372" t="s">
        <v>68</v>
      </c>
      <c r="G372" t="s">
        <v>235</v>
      </c>
      <c r="H372" t="s">
        <v>101</v>
      </c>
      <c r="I372" t="s">
        <v>70</v>
      </c>
      <c r="J372" t="s">
        <v>71</v>
      </c>
      <c r="K372" t="s">
        <v>72</v>
      </c>
      <c r="L372" t="s">
        <v>68</v>
      </c>
      <c r="M372" t="s">
        <v>68</v>
      </c>
    </row>
    <row r="373" spans="1:13">
      <c r="A373">
        <v>340</v>
      </c>
      <c r="B373" t="s">
        <v>444</v>
      </c>
      <c r="C373" t="s">
        <v>289</v>
      </c>
      <c r="D373" t="s">
        <v>290</v>
      </c>
      <c r="E373" t="s">
        <v>68</v>
      </c>
      <c r="F373" t="s">
        <v>68</v>
      </c>
      <c r="G373" t="s">
        <v>235</v>
      </c>
      <c r="H373" t="s">
        <v>101</v>
      </c>
      <c r="I373" t="s">
        <v>70</v>
      </c>
      <c r="J373" t="s">
        <v>71</v>
      </c>
      <c r="K373" t="s">
        <v>72</v>
      </c>
      <c r="L373" t="s">
        <v>68</v>
      </c>
      <c r="M373" t="s">
        <v>68</v>
      </c>
    </row>
    <row r="374" spans="1:13">
      <c r="A374">
        <v>341</v>
      </c>
      <c r="B374" t="s">
        <v>445</v>
      </c>
      <c r="C374" t="s">
        <v>289</v>
      </c>
      <c r="D374" t="s">
        <v>290</v>
      </c>
      <c r="E374" t="s">
        <v>68</v>
      </c>
      <c r="F374" t="s">
        <v>68</v>
      </c>
      <c r="G374" t="s">
        <v>235</v>
      </c>
      <c r="H374" t="s">
        <v>101</v>
      </c>
      <c r="I374" t="s">
        <v>70</v>
      </c>
      <c r="J374" t="s">
        <v>71</v>
      </c>
      <c r="K374" t="s">
        <v>72</v>
      </c>
      <c r="L374" t="s">
        <v>68</v>
      </c>
      <c r="M374" t="s">
        <v>68</v>
      </c>
    </row>
    <row r="375" spans="1:13">
      <c r="A375">
        <v>342</v>
      </c>
      <c r="B375" t="s">
        <v>446</v>
      </c>
      <c r="C375" t="s">
        <v>289</v>
      </c>
      <c r="D375" t="s">
        <v>290</v>
      </c>
      <c r="E375" t="s">
        <v>68</v>
      </c>
      <c r="F375" t="s">
        <v>68</v>
      </c>
      <c r="G375" t="s">
        <v>235</v>
      </c>
      <c r="H375" t="s">
        <v>101</v>
      </c>
      <c r="I375" t="s">
        <v>70</v>
      </c>
      <c r="J375" t="s">
        <v>71</v>
      </c>
      <c r="K375" t="s">
        <v>72</v>
      </c>
      <c r="L375" t="s">
        <v>68</v>
      </c>
      <c r="M375" t="s">
        <v>68</v>
      </c>
    </row>
    <row r="376" spans="1:13">
      <c r="A376">
        <v>343</v>
      </c>
      <c r="B376" t="s">
        <v>447</v>
      </c>
      <c r="C376" t="s">
        <v>294</v>
      </c>
      <c r="D376" t="s">
        <v>295</v>
      </c>
      <c r="E376" t="s">
        <v>68</v>
      </c>
      <c r="F376" t="s">
        <v>68</v>
      </c>
      <c r="G376" t="s">
        <v>235</v>
      </c>
      <c r="H376" t="s">
        <v>101</v>
      </c>
      <c r="I376" t="s">
        <v>70</v>
      </c>
      <c r="J376" t="s">
        <v>71</v>
      </c>
      <c r="K376" t="s">
        <v>72</v>
      </c>
      <c r="L376" t="s">
        <v>68</v>
      </c>
      <c r="M376" t="s">
        <v>68</v>
      </c>
    </row>
    <row r="377" spans="1:13">
      <c r="A377">
        <v>344</v>
      </c>
      <c r="B377" t="s">
        <v>448</v>
      </c>
      <c r="C377" t="s">
        <v>294</v>
      </c>
      <c r="D377" t="s">
        <v>295</v>
      </c>
      <c r="E377" t="s">
        <v>68</v>
      </c>
      <c r="F377" t="s">
        <v>68</v>
      </c>
      <c r="G377" t="s">
        <v>235</v>
      </c>
      <c r="H377" t="s">
        <v>101</v>
      </c>
      <c r="I377" t="s">
        <v>70</v>
      </c>
      <c r="J377" t="s">
        <v>71</v>
      </c>
      <c r="K377" t="s">
        <v>72</v>
      </c>
      <c r="L377" t="s">
        <v>68</v>
      </c>
      <c r="M377" t="s">
        <v>68</v>
      </c>
    </row>
    <row r="378" spans="1:13">
      <c r="A378">
        <v>345</v>
      </c>
      <c r="B378" t="s">
        <v>449</v>
      </c>
      <c r="C378" t="s">
        <v>294</v>
      </c>
      <c r="D378" t="s">
        <v>295</v>
      </c>
      <c r="E378" t="s">
        <v>68</v>
      </c>
      <c r="F378" t="s">
        <v>68</v>
      </c>
      <c r="G378" t="s">
        <v>235</v>
      </c>
      <c r="H378" t="s">
        <v>101</v>
      </c>
      <c r="I378" t="s">
        <v>70</v>
      </c>
      <c r="J378" t="s">
        <v>71</v>
      </c>
      <c r="K378" t="s">
        <v>72</v>
      </c>
      <c r="L378" t="s">
        <v>68</v>
      </c>
      <c r="M378" t="s">
        <v>68</v>
      </c>
    </row>
    <row r="379" spans="1:13">
      <c r="A379">
        <v>346</v>
      </c>
      <c r="B379" t="s">
        <v>450</v>
      </c>
      <c r="C379" t="s">
        <v>299</v>
      </c>
      <c r="D379" t="s">
        <v>300</v>
      </c>
      <c r="E379" t="s">
        <v>68</v>
      </c>
      <c r="F379" t="s">
        <v>68</v>
      </c>
      <c r="G379" t="s">
        <v>235</v>
      </c>
      <c r="H379" t="s">
        <v>101</v>
      </c>
      <c r="I379" t="s">
        <v>70</v>
      </c>
      <c r="J379" t="s">
        <v>71</v>
      </c>
      <c r="K379" t="s">
        <v>72</v>
      </c>
      <c r="L379" t="s">
        <v>68</v>
      </c>
      <c r="M379" t="s">
        <v>68</v>
      </c>
    </row>
    <row r="380" spans="1:13">
      <c r="A380">
        <v>347</v>
      </c>
      <c r="B380" t="s">
        <v>451</v>
      </c>
      <c r="C380" t="s">
        <v>299</v>
      </c>
      <c r="D380" t="s">
        <v>300</v>
      </c>
      <c r="E380" t="s">
        <v>68</v>
      </c>
      <c r="F380" t="s">
        <v>68</v>
      </c>
      <c r="G380" t="s">
        <v>235</v>
      </c>
      <c r="H380" t="s">
        <v>101</v>
      </c>
      <c r="I380" t="s">
        <v>70</v>
      </c>
      <c r="J380" t="s">
        <v>71</v>
      </c>
      <c r="K380" t="s">
        <v>72</v>
      </c>
      <c r="L380" t="s">
        <v>68</v>
      </c>
      <c r="M380" t="s">
        <v>68</v>
      </c>
    </row>
    <row r="381" spans="1:13">
      <c r="A381">
        <v>348</v>
      </c>
      <c r="B381" t="s">
        <v>452</v>
      </c>
      <c r="C381" t="s">
        <v>299</v>
      </c>
      <c r="D381" t="s">
        <v>300</v>
      </c>
      <c r="E381" t="s">
        <v>68</v>
      </c>
      <c r="F381" t="s">
        <v>68</v>
      </c>
      <c r="G381" t="s">
        <v>235</v>
      </c>
      <c r="H381" t="s">
        <v>101</v>
      </c>
      <c r="I381" t="s">
        <v>70</v>
      </c>
      <c r="J381" t="s">
        <v>71</v>
      </c>
      <c r="K381" t="s">
        <v>72</v>
      </c>
      <c r="L381" t="s">
        <v>68</v>
      </c>
      <c r="M381" t="s">
        <v>68</v>
      </c>
    </row>
    <row r="382" spans="1:13">
      <c r="A382">
        <v>349</v>
      </c>
      <c r="B382" t="s">
        <v>453</v>
      </c>
      <c r="C382" s="2">
        <v>4</v>
      </c>
      <c r="D382" t="s">
        <v>304</v>
      </c>
      <c r="E382" t="s">
        <v>68</v>
      </c>
      <c r="F382" t="s">
        <v>68</v>
      </c>
      <c r="G382" t="s">
        <v>235</v>
      </c>
      <c r="H382" t="s">
        <v>101</v>
      </c>
      <c r="I382" t="s">
        <v>70</v>
      </c>
      <c r="J382" t="s">
        <v>71</v>
      </c>
      <c r="K382" t="s">
        <v>72</v>
      </c>
      <c r="L382" t="s">
        <v>68</v>
      </c>
      <c r="M382" t="s">
        <v>68</v>
      </c>
    </row>
    <row r="383" spans="1:13">
      <c r="A383">
        <v>350</v>
      </c>
      <c r="B383" t="s">
        <v>454</v>
      </c>
      <c r="C383" s="2">
        <v>4</v>
      </c>
      <c r="D383" t="s">
        <v>304</v>
      </c>
      <c r="E383" t="s">
        <v>68</v>
      </c>
      <c r="F383" t="s">
        <v>68</v>
      </c>
      <c r="G383" t="s">
        <v>235</v>
      </c>
      <c r="H383" t="s">
        <v>101</v>
      </c>
      <c r="I383" t="s">
        <v>70</v>
      </c>
      <c r="J383" t="s">
        <v>71</v>
      </c>
      <c r="K383" t="s">
        <v>72</v>
      </c>
      <c r="L383" t="s">
        <v>68</v>
      </c>
      <c r="M383" t="s">
        <v>68</v>
      </c>
    </row>
    <row r="384" spans="1:13">
      <c r="A384">
        <v>351</v>
      </c>
      <c r="B384" t="s">
        <v>455</v>
      </c>
      <c r="C384" s="2">
        <v>4</v>
      </c>
      <c r="D384" t="s">
        <v>304</v>
      </c>
      <c r="E384" t="s">
        <v>68</v>
      </c>
      <c r="F384" t="s">
        <v>68</v>
      </c>
      <c r="G384" t="s">
        <v>235</v>
      </c>
      <c r="H384" t="s">
        <v>101</v>
      </c>
      <c r="I384" t="s">
        <v>70</v>
      </c>
      <c r="J384" t="s">
        <v>71</v>
      </c>
      <c r="K384" t="s">
        <v>72</v>
      </c>
      <c r="L384" t="s">
        <v>68</v>
      </c>
      <c r="M384" t="s">
        <v>68</v>
      </c>
    </row>
    <row r="385" spans="1:13">
      <c r="A385">
        <v>352</v>
      </c>
      <c r="B385" t="s">
        <v>456</v>
      </c>
      <c r="C385" t="s">
        <v>308</v>
      </c>
      <c r="D385" t="s">
        <v>309</v>
      </c>
      <c r="E385" t="s">
        <v>68</v>
      </c>
      <c r="F385" t="s">
        <v>68</v>
      </c>
      <c r="G385" t="s">
        <v>235</v>
      </c>
      <c r="H385" t="s">
        <v>101</v>
      </c>
      <c r="I385" t="s">
        <v>70</v>
      </c>
      <c r="J385" t="s">
        <v>71</v>
      </c>
      <c r="K385" t="s">
        <v>72</v>
      </c>
      <c r="L385" t="s">
        <v>68</v>
      </c>
      <c r="M385" t="s">
        <v>68</v>
      </c>
    </row>
    <row r="386" spans="1:13">
      <c r="A386">
        <v>353</v>
      </c>
      <c r="B386" t="s">
        <v>457</v>
      </c>
      <c r="C386" t="s">
        <v>308</v>
      </c>
      <c r="D386" t="s">
        <v>309</v>
      </c>
      <c r="E386" t="s">
        <v>68</v>
      </c>
      <c r="F386" t="s">
        <v>68</v>
      </c>
      <c r="G386" t="s">
        <v>235</v>
      </c>
      <c r="H386" t="s">
        <v>101</v>
      </c>
      <c r="I386" t="s">
        <v>70</v>
      </c>
      <c r="J386" t="s">
        <v>71</v>
      </c>
      <c r="K386" t="s">
        <v>72</v>
      </c>
      <c r="L386" t="s">
        <v>68</v>
      </c>
      <c r="M386" t="s">
        <v>68</v>
      </c>
    </row>
    <row r="387" spans="1:13">
      <c r="A387">
        <v>354</v>
      </c>
      <c r="B387" t="s">
        <v>458</v>
      </c>
      <c r="C387" t="s">
        <v>308</v>
      </c>
      <c r="D387" t="s">
        <v>309</v>
      </c>
      <c r="E387" t="s">
        <v>68</v>
      </c>
      <c r="F387" t="s">
        <v>68</v>
      </c>
      <c r="G387" t="s">
        <v>235</v>
      </c>
      <c r="H387" t="s">
        <v>101</v>
      </c>
      <c r="I387" t="s">
        <v>70</v>
      </c>
      <c r="J387" t="s">
        <v>71</v>
      </c>
      <c r="K387" t="s">
        <v>72</v>
      </c>
      <c r="L387" t="s">
        <v>68</v>
      </c>
      <c r="M387" t="s">
        <v>68</v>
      </c>
    </row>
    <row r="388" spans="1:13">
      <c r="A388">
        <v>355</v>
      </c>
      <c r="B388" t="s">
        <v>459</v>
      </c>
      <c r="C388" t="s">
        <v>313</v>
      </c>
      <c r="D388" t="s">
        <v>314</v>
      </c>
      <c r="E388" t="s">
        <v>68</v>
      </c>
      <c r="F388" t="s">
        <v>68</v>
      </c>
      <c r="G388" t="s">
        <v>235</v>
      </c>
      <c r="H388" t="s">
        <v>101</v>
      </c>
      <c r="I388" t="s">
        <v>70</v>
      </c>
      <c r="J388" t="s">
        <v>71</v>
      </c>
      <c r="K388" t="s">
        <v>72</v>
      </c>
      <c r="L388" t="s">
        <v>68</v>
      </c>
      <c r="M388" t="s">
        <v>68</v>
      </c>
    </row>
    <row r="389" spans="1:13">
      <c r="A389">
        <v>356</v>
      </c>
      <c r="B389" t="s">
        <v>460</v>
      </c>
      <c r="C389" t="s">
        <v>313</v>
      </c>
      <c r="D389" t="s">
        <v>314</v>
      </c>
      <c r="E389" t="s">
        <v>68</v>
      </c>
      <c r="F389" t="s">
        <v>68</v>
      </c>
      <c r="G389" t="s">
        <v>235</v>
      </c>
      <c r="H389" t="s">
        <v>101</v>
      </c>
      <c r="I389" t="s">
        <v>70</v>
      </c>
      <c r="J389" t="s">
        <v>71</v>
      </c>
      <c r="K389" t="s">
        <v>72</v>
      </c>
      <c r="L389" t="s">
        <v>68</v>
      </c>
      <c r="M389" t="s">
        <v>68</v>
      </c>
    </row>
    <row r="390" spans="1:13">
      <c r="A390">
        <v>357</v>
      </c>
      <c r="B390" t="s">
        <v>461</v>
      </c>
      <c r="C390" t="s">
        <v>313</v>
      </c>
      <c r="D390" t="s">
        <v>314</v>
      </c>
      <c r="E390" t="s">
        <v>68</v>
      </c>
      <c r="F390" t="s">
        <v>68</v>
      </c>
      <c r="G390" t="s">
        <v>235</v>
      </c>
      <c r="H390" t="s">
        <v>101</v>
      </c>
      <c r="I390" t="s">
        <v>70</v>
      </c>
      <c r="J390" t="s">
        <v>71</v>
      </c>
      <c r="K390" t="s">
        <v>72</v>
      </c>
      <c r="L390" t="s">
        <v>68</v>
      </c>
      <c r="M390" t="s">
        <v>68</v>
      </c>
    </row>
    <row r="391" spans="1:13">
      <c r="A391">
        <v>358</v>
      </c>
      <c r="B391" t="s">
        <v>462</v>
      </c>
      <c r="C391" t="s">
        <v>318</v>
      </c>
      <c r="D391" t="s">
        <v>67</v>
      </c>
      <c r="E391" t="s">
        <v>68</v>
      </c>
      <c r="F391" t="s">
        <v>68</v>
      </c>
      <c r="G391" t="s">
        <v>235</v>
      </c>
      <c r="H391" t="s">
        <v>101</v>
      </c>
      <c r="I391" t="s">
        <v>70</v>
      </c>
      <c r="J391" t="s">
        <v>71</v>
      </c>
      <c r="K391" t="s">
        <v>72</v>
      </c>
      <c r="L391" t="s">
        <v>68</v>
      </c>
      <c r="M391" t="s">
        <v>68</v>
      </c>
    </row>
    <row r="392" spans="1:13">
      <c r="A392">
        <v>359</v>
      </c>
      <c r="B392" t="s">
        <v>463</v>
      </c>
      <c r="C392" t="s">
        <v>318</v>
      </c>
      <c r="D392" t="s">
        <v>67</v>
      </c>
      <c r="E392" t="s">
        <v>68</v>
      </c>
      <c r="F392" t="s">
        <v>68</v>
      </c>
      <c r="G392" t="s">
        <v>235</v>
      </c>
      <c r="H392" t="s">
        <v>101</v>
      </c>
      <c r="I392" t="s">
        <v>70</v>
      </c>
      <c r="J392" t="s">
        <v>71</v>
      </c>
      <c r="K392" t="s">
        <v>72</v>
      </c>
      <c r="L392" t="s">
        <v>68</v>
      </c>
      <c r="M392" t="s">
        <v>68</v>
      </c>
    </row>
    <row r="393" spans="1:13">
      <c r="A393">
        <v>360</v>
      </c>
      <c r="B393" t="s">
        <v>464</v>
      </c>
      <c r="C393" t="s">
        <v>318</v>
      </c>
      <c r="D393" t="s">
        <v>67</v>
      </c>
      <c r="E393" t="s">
        <v>68</v>
      </c>
      <c r="F393" t="s">
        <v>68</v>
      </c>
      <c r="G393" t="s">
        <v>235</v>
      </c>
      <c r="H393" t="s">
        <v>101</v>
      </c>
      <c r="I393" t="s">
        <v>70</v>
      </c>
      <c r="J393" t="s">
        <v>71</v>
      </c>
      <c r="K393" t="s">
        <v>72</v>
      </c>
      <c r="L393" t="s">
        <v>68</v>
      </c>
      <c r="M393" t="s">
        <v>68</v>
      </c>
    </row>
    <row r="394" spans="1:13">
      <c r="A394">
        <v>361</v>
      </c>
      <c r="B394" t="s">
        <v>465</v>
      </c>
      <c r="C394" s="2">
        <v>3</v>
      </c>
      <c r="D394" t="s">
        <v>285</v>
      </c>
      <c r="E394" t="s">
        <v>68</v>
      </c>
      <c r="F394" t="s">
        <v>68</v>
      </c>
      <c r="G394" t="s">
        <v>260</v>
      </c>
      <c r="H394" t="s">
        <v>106</v>
      </c>
      <c r="I394" t="s">
        <v>70</v>
      </c>
      <c r="J394" t="s">
        <v>71</v>
      </c>
      <c r="K394" t="s">
        <v>72</v>
      </c>
      <c r="L394" t="s">
        <v>68</v>
      </c>
      <c r="M394" t="s">
        <v>68</v>
      </c>
    </row>
    <row r="395" spans="1:13">
      <c r="A395">
        <v>362</v>
      </c>
      <c r="B395" t="s">
        <v>466</v>
      </c>
      <c r="C395" s="2">
        <v>3</v>
      </c>
      <c r="D395" t="s">
        <v>285</v>
      </c>
      <c r="E395" t="s">
        <v>68</v>
      </c>
      <c r="F395" t="s">
        <v>68</v>
      </c>
      <c r="G395" t="s">
        <v>260</v>
      </c>
      <c r="H395" t="s">
        <v>106</v>
      </c>
      <c r="I395" t="s">
        <v>70</v>
      </c>
      <c r="J395" t="s">
        <v>71</v>
      </c>
      <c r="K395" t="s">
        <v>72</v>
      </c>
      <c r="L395" t="s">
        <v>68</v>
      </c>
      <c r="M395" t="s">
        <v>68</v>
      </c>
    </row>
    <row r="396" spans="1:13">
      <c r="A396">
        <v>363</v>
      </c>
      <c r="B396" t="s">
        <v>467</v>
      </c>
      <c r="C396" s="2">
        <v>3</v>
      </c>
      <c r="D396" t="s">
        <v>285</v>
      </c>
      <c r="E396" t="s">
        <v>68</v>
      </c>
      <c r="F396" t="s">
        <v>68</v>
      </c>
      <c r="G396" t="s">
        <v>260</v>
      </c>
      <c r="H396" t="s">
        <v>106</v>
      </c>
      <c r="I396" t="s">
        <v>70</v>
      </c>
      <c r="J396" t="s">
        <v>71</v>
      </c>
      <c r="K396" t="s">
        <v>72</v>
      </c>
      <c r="L396" t="s">
        <v>68</v>
      </c>
      <c r="M396" t="s">
        <v>68</v>
      </c>
    </row>
    <row r="397" spans="1:13">
      <c r="A397">
        <v>364</v>
      </c>
      <c r="B397" t="s">
        <v>468</v>
      </c>
      <c r="C397" t="s">
        <v>289</v>
      </c>
      <c r="D397" t="s">
        <v>290</v>
      </c>
      <c r="E397" t="s">
        <v>68</v>
      </c>
      <c r="F397" t="s">
        <v>68</v>
      </c>
      <c r="G397" t="s">
        <v>260</v>
      </c>
      <c r="H397" t="s">
        <v>106</v>
      </c>
      <c r="I397" t="s">
        <v>70</v>
      </c>
      <c r="J397" t="s">
        <v>71</v>
      </c>
      <c r="K397" t="s">
        <v>72</v>
      </c>
      <c r="L397" t="s">
        <v>68</v>
      </c>
      <c r="M397" t="s">
        <v>68</v>
      </c>
    </row>
    <row r="398" spans="1:13">
      <c r="A398">
        <v>365</v>
      </c>
      <c r="B398" t="s">
        <v>469</v>
      </c>
      <c r="C398" t="s">
        <v>289</v>
      </c>
      <c r="D398" t="s">
        <v>290</v>
      </c>
      <c r="E398" t="s">
        <v>68</v>
      </c>
      <c r="F398" t="s">
        <v>68</v>
      </c>
      <c r="G398" t="s">
        <v>260</v>
      </c>
      <c r="H398" t="s">
        <v>106</v>
      </c>
      <c r="I398" t="s">
        <v>70</v>
      </c>
      <c r="J398" t="s">
        <v>71</v>
      </c>
      <c r="K398" t="s">
        <v>72</v>
      </c>
      <c r="L398" t="s">
        <v>68</v>
      </c>
      <c r="M398" t="s">
        <v>68</v>
      </c>
    </row>
    <row r="399" spans="1:13">
      <c r="A399">
        <v>366</v>
      </c>
      <c r="B399" t="s">
        <v>470</v>
      </c>
      <c r="C399" t="s">
        <v>289</v>
      </c>
      <c r="D399" t="s">
        <v>290</v>
      </c>
      <c r="E399" t="s">
        <v>68</v>
      </c>
      <c r="F399" t="s">
        <v>68</v>
      </c>
      <c r="G399" t="s">
        <v>260</v>
      </c>
      <c r="H399" t="s">
        <v>106</v>
      </c>
      <c r="I399" t="s">
        <v>70</v>
      </c>
      <c r="J399" t="s">
        <v>71</v>
      </c>
      <c r="K399" t="s">
        <v>72</v>
      </c>
      <c r="L399" t="s">
        <v>68</v>
      </c>
      <c r="M399" t="s">
        <v>68</v>
      </c>
    </row>
    <row r="400" spans="1:13">
      <c r="A400">
        <v>367</v>
      </c>
      <c r="B400" t="s">
        <v>471</v>
      </c>
      <c r="C400" t="s">
        <v>294</v>
      </c>
      <c r="D400" t="s">
        <v>295</v>
      </c>
      <c r="E400" t="s">
        <v>68</v>
      </c>
      <c r="F400" t="s">
        <v>68</v>
      </c>
      <c r="G400" t="s">
        <v>260</v>
      </c>
      <c r="H400" t="s">
        <v>106</v>
      </c>
      <c r="I400" t="s">
        <v>70</v>
      </c>
      <c r="J400" t="s">
        <v>71</v>
      </c>
      <c r="K400" t="s">
        <v>72</v>
      </c>
      <c r="L400" t="s">
        <v>68</v>
      </c>
      <c r="M400" t="s">
        <v>68</v>
      </c>
    </row>
    <row r="401" spans="1:13">
      <c r="A401">
        <v>368</v>
      </c>
      <c r="B401" t="s">
        <v>472</v>
      </c>
      <c r="C401" t="s">
        <v>294</v>
      </c>
      <c r="D401" t="s">
        <v>295</v>
      </c>
      <c r="E401" t="s">
        <v>68</v>
      </c>
      <c r="F401" t="s">
        <v>68</v>
      </c>
      <c r="G401" t="s">
        <v>260</v>
      </c>
      <c r="H401" t="s">
        <v>106</v>
      </c>
      <c r="I401" t="s">
        <v>70</v>
      </c>
      <c r="J401" t="s">
        <v>71</v>
      </c>
      <c r="K401" t="s">
        <v>72</v>
      </c>
      <c r="L401" t="s">
        <v>68</v>
      </c>
      <c r="M401" t="s">
        <v>68</v>
      </c>
    </row>
    <row r="402" spans="1:13">
      <c r="A402">
        <v>369</v>
      </c>
      <c r="B402" t="s">
        <v>473</v>
      </c>
      <c r="C402" t="s">
        <v>294</v>
      </c>
      <c r="D402" t="s">
        <v>295</v>
      </c>
      <c r="E402" t="s">
        <v>68</v>
      </c>
      <c r="F402" t="s">
        <v>68</v>
      </c>
      <c r="G402" t="s">
        <v>260</v>
      </c>
      <c r="H402" t="s">
        <v>106</v>
      </c>
      <c r="I402" t="s">
        <v>70</v>
      </c>
      <c r="J402" t="s">
        <v>71</v>
      </c>
      <c r="K402" t="s">
        <v>72</v>
      </c>
      <c r="L402" t="s">
        <v>68</v>
      </c>
      <c r="M402" t="s">
        <v>68</v>
      </c>
    </row>
    <row r="403" spans="1:13">
      <c r="A403">
        <v>370</v>
      </c>
      <c r="B403" t="s">
        <v>474</v>
      </c>
      <c r="C403" t="s">
        <v>299</v>
      </c>
      <c r="D403" t="s">
        <v>300</v>
      </c>
      <c r="E403" t="s">
        <v>68</v>
      </c>
      <c r="F403" t="s">
        <v>68</v>
      </c>
      <c r="G403" t="s">
        <v>260</v>
      </c>
      <c r="H403" t="s">
        <v>106</v>
      </c>
      <c r="I403" t="s">
        <v>70</v>
      </c>
      <c r="J403" t="s">
        <v>71</v>
      </c>
      <c r="K403" t="s">
        <v>72</v>
      </c>
      <c r="L403" t="s">
        <v>68</v>
      </c>
      <c r="M403" t="s">
        <v>68</v>
      </c>
    </row>
    <row r="404" spans="1:13">
      <c r="A404">
        <v>371</v>
      </c>
      <c r="B404" t="s">
        <v>475</v>
      </c>
      <c r="C404" t="s">
        <v>299</v>
      </c>
      <c r="D404" t="s">
        <v>300</v>
      </c>
      <c r="E404" t="s">
        <v>68</v>
      </c>
      <c r="F404" t="s">
        <v>68</v>
      </c>
      <c r="G404" t="s">
        <v>260</v>
      </c>
      <c r="H404" t="s">
        <v>106</v>
      </c>
      <c r="I404" t="s">
        <v>70</v>
      </c>
      <c r="J404" t="s">
        <v>71</v>
      </c>
      <c r="K404" t="s">
        <v>72</v>
      </c>
      <c r="L404" t="s">
        <v>68</v>
      </c>
      <c r="M404" t="s">
        <v>68</v>
      </c>
    </row>
    <row r="405" spans="1:13">
      <c r="A405">
        <v>372</v>
      </c>
      <c r="B405" t="s">
        <v>476</v>
      </c>
      <c r="C405" t="s">
        <v>299</v>
      </c>
      <c r="D405" t="s">
        <v>300</v>
      </c>
      <c r="E405" t="s">
        <v>68</v>
      </c>
      <c r="F405" t="s">
        <v>68</v>
      </c>
      <c r="G405" t="s">
        <v>260</v>
      </c>
      <c r="H405" t="s">
        <v>106</v>
      </c>
      <c r="I405" t="s">
        <v>70</v>
      </c>
      <c r="J405" t="s">
        <v>71</v>
      </c>
      <c r="K405" t="s">
        <v>72</v>
      </c>
      <c r="L405" t="s">
        <v>68</v>
      </c>
      <c r="M405" t="s">
        <v>68</v>
      </c>
    </row>
    <row r="406" spans="1:13">
      <c r="A406">
        <v>373</v>
      </c>
      <c r="B406" t="s">
        <v>477</v>
      </c>
      <c r="C406" s="2">
        <v>4</v>
      </c>
      <c r="D406" t="s">
        <v>304</v>
      </c>
      <c r="E406" t="s">
        <v>68</v>
      </c>
      <c r="F406" t="s">
        <v>68</v>
      </c>
      <c r="G406" t="s">
        <v>260</v>
      </c>
      <c r="H406" t="s">
        <v>106</v>
      </c>
      <c r="I406" t="s">
        <v>70</v>
      </c>
      <c r="J406" t="s">
        <v>71</v>
      </c>
      <c r="K406" t="s">
        <v>72</v>
      </c>
      <c r="L406" t="s">
        <v>68</v>
      </c>
      <c r="M406" t="s">
        <v>68</v>
      </c>
    </row>
    <row r="407" spans="1:13">
      <c r="A407">
        <v>374</v>
      </c>
      <c r="B407" t="s">
        <v>478</v>
      </c>
      <c r="C407" s="2">
        <v>4</v>
      </c>
      <c r="D407" t="s">
        <v>304</v>
      </c>
      <c r="E407" t="s">
        <v>68</v>
      </c>
      <c r="F407" t="s">
        <v>68</v>
      </c>
      <c r="G407" t="s">
        <v>260</v>
      </c>
      <c r="H407" t="s">
        <v>106</v>
      </c>
      <c r="I407" t="s">
        <v>70</v>
      </c>
      <c r="J407" t="s">
        <v>71</v>
      </c>
      <c r="K407" t="s">
        <v>72</v>
      </c>
      <c r="L407" t="s">
        <v>68</v>
      </c>
      <c r="M407" t="s">
        <v>68</v>
      </c>
    </row>
    <row r="408" spans="1:13">
      <c r="A408">
        <v>375</v>
      </c>
      <c r="B408" t="s">
        <v>479</v>
      </c>
      <c r="C408" s="2">
        <v>4</v>
      </c>
      <c r="D408" t="s">
        <v>304</v>
      </c>
      <c r="E408" t="s">
        <v>68</v>
      </c>
      <c r="F408" t="s">
        <v>68</v>
      </c>
      <c r="G408" t="s">
        <v>260</v>
      </c>
      <c r="H408" t="s">
        <v>106</v>
      </c>
      <c r="I408" t="s">
        <v>70</v>
      </c>
      <c r="J408" t="s">
        <v>71</v>
      </c>
      <c r="K408" t="s">
        <v>72</v>
      </c>
      <c r="L408" t="s">
        <v>68</v>
      </c>
      <c r="M408" t="s">
        <v>68</v>
      </c>
    </row>
    <row r="409" spans="1:13">
      <c r="A409">
        <v>376</v>
      </c>
      <c r="B409" t="s">
        <v>480</v>
      </c>
      <c r="C409" t="s">
        <v>308</v>
      </c>
      <c r="D409" t="s">
        <v>309</v>
      </c>
      <c r="E409" t="s">
        <v>68</v>
      </c>
      <c r="F409" t="s">
        <v>68</v>
      </c>
      <c r="G409" t="s">
        <v>260</v>
      </c>
      <c r="H409" t="s">
        <v>106</v>
      </c>
      <c r="I409" t="s">
        <v>70</v>
      </c>
      <c r="J409" t="s">
        <v>71</v>
      </c>
      <c r="K409" t="s">
        <v>72</v>
      </c>
      <c r="L409" t="s">
        <v>68</v>
      </c>
      <c r="M409" t="s">
        <v>68</v>
      </c>
    </row>
    <row r="410" spans="1:13">
      <c r="A410">
        <v>377</v>
      </c>
      <c r="B410" t="s">
        <v>481</v>
      </c>
      <c r="C410" t="s">
        <v>308</v>
      </c>
      <c r="D410" t="s">
        <v>309</v>
      </c>
      <c r="E410" t="s">
        <v>68</v>
      </c>
      <c r="F410" t="s">
        <v>68</v>
      </c>
      <c r="G410" t="s">
        <v>260</v>
      </c>
      <c r="H410" t="s">
        <v>106</v>
      </c>
      <c r="I410" t="s">
        <v>70</v>
      </c>
      <c r="J410" t="s">
        <v>71</v>
      </c>
      <c r="K410" t="s">
        <v>72</v>
      </c>
      <c r="L410" t="s">
        <v>68</v>
      </c>
      <c r="M410" t="s">
        <v>68</v>
      </c>
    </row>
    <row r="411" spans="1:13">
      <c r="A411">
        <v>378</v>
      </c>
      <c r="B411" t="s">
        <v>482</v>
      </c>
      <c r="C411" t="s">
        <v>308</v>
      </c>
      <c r="D411" t="s">
        <v>309</v>
      </c>
      <c r="E411" t="s">
        <v>68</v>
      </c>
      <c r="F411" t="s">
        <v>68</v>
      </c>
      <c r="G411" t="s">
        <v>260</v>
      </c>
      <c r="H411" t="s">
        <v>106</v>
      </c>
      <c r="I411" t="s">
        <v>70</v>
      </c>
      <c r="J411" t="s">
        <v>71</v>
      </c>
      <c r="K411" t="s">
        <v>72</v>
      </c>
      <c r="L411" t="s">
        <v>68</v>
      </c>
      <c r="M411" t="s">
        <v>68</v>
      </c>
    </row>
    <row r="412" spans="1:13">
      <c r="A412">
        <v>379</v>
      </c>
      <c r="B412" t="s">
        <v>483</v>
      </c>
      <c r="C412" t="s">
        <v>313</v>
      </c>
      <c r="D412" t="s">
        <v>314</v>
      </c>
      <c r="E412" t="s">
        <v>68</v>
      </c>
      <c r="F412" t="s">
        <v>68</v>
      </c>
      <c r="G412" t="s">
        <v>260</v>
      </c>
      <c r="H412" t="s">
        <v>106</v>
      </c>
      <c r="I412" t="s">
        <v>70</v>
      </c>
      <c r="J412" t="s">
        <v>71</v>
      </c>
      <c r="K412" t="s">
        <v>72</v>
      </c>
      <c r="L412" t="s">
        <v>68</v>
      </c>
      <c r="M412" t="s">
        <v>68</v>
      </c>
    </row>
    <row r="413" spans="1:13">
      <c r="A413">
        <v>380</v>
      </c>
      <c r="B413" t="s">
        <v>484</v>
      </c>
      <c r="C413" t="s">
        <v>313</v>
      </c>
      <c r="D413" t="s">
        <v>314</v>
      </c>
      <c r="E413" t="s">
        <v>68</v>
      </c>
      <c r="F413" t="s">
        <v>68</v>
      </c>
      <c r="G413" t="s">
        <v>260</v>
      </c>
      <c r="H413" t="s">
        <v>106</v>
      </c>
      <c r="I413" t="s">
        <v>70</v>
      </c>
      <c r="J413" t="s">
        <v>71</v>
      </c>
      <c r="K413" t="s">
        <v>72</v>
      </c>
      <c r="L413" t="s">
        <v>68</v>
      </c>
      <c r="M413" t="s">
        <v>68</v>
      </c>
    </row>
    <row r="414" spans="1:13">
      <c r="A414">
        <v>381</v>
      </c>
      <c r="B414" t="s">
        <v>485</v>
      </c>
      <c r="C414" t="s">
        <v>313</v>
      </c>
      <c r="D414" t="s">
        <v>314</v>
      </c>
      <c r="E414" t="s">
        <v>68</v>
      </c>
      <c r="F414" t="s">
        <v>68</v>
      </c>
      <c r="G414" t="s">
        <v>260</v>
      </c>
      <c r="H414" t="s">
        <v>106</v>
      </c>
      <c r="I414" t="s">
        <v>70</v>
      </c>
      <c r="J414" t="s">
        <v>71</v>
      </c>
      <c r="K414" t="s">
        <v>72</v>
      </c>
      <c r="L414" t="s">
        <v>68</v>
      </c>
      <c r="M414" t="s">
        <v>68</v>
      </c>
    </row>
    <row r="415" spans="1:13">
      <c r="A415">
        <v>382</v>
      </c>
      <c r="B415" t="s">
        <v>486</v>
      </c>
      <c r="C415" t="s">
        <v>318</v>
      </c>
      <c r="D415" t="s">
        <v>67</v>
      </c>
      <c r="E415" t="s">
        <v>68</v>
      </c>
      <c r="F415" t="s">
        <v>68</v>
      </c>
      <c r="G415" t="s">
        <v>260</v>
      </c>
      <c r="H415" t="s">
        <v>106</v>
      </c>
      <c r="I415" t="s">
        <v>70</v>
      </c>
      <c r="J415" t="s">
        <v>71</v>
      </c>
      <c r="K415" t="s">
        <v>72</v>
      </c>
      <c r="L415" t="s">
        <v>68</v>
      </c>
      <c r="M415" t="s">
        <v>68</v>
      </c>
    </row>
    <row r="416" spans="1:13">
      <c r="A416">
        <v>383</v>
      </c>
      <c r="B416" t="s">
        <v>487</v>
      </c>
      <c r="C416" t="s">
        <v>318</v>
      </c>
      <c r="D416" t="s">
        <v>67</v>
      </c>
      <c r="E416" t="s">
        <v>68</v>
      </c>
      <c r="F416" t="s">
        <v>68</v>
      </c>
      <c r="G416" t="s">
        <v>260</v>
      </c>
      <c r="H416" t="s">
        <v>106</v>
      </c>
      <c r="I416" t="s">
        <v>70</v>
      </c>
      <c r="J416" t="s">
        <v>71</v>
      </c>
      <c r="K416" t="s">
        <v>72</v>
      </c>
      <c r="L416" t="s">
        <v>68</v>
      </c>
      <c r="M416" t="s">
        <v>68</v>
      </c>
    </row>
    <row r="417" spans="1:13">
      <c r="A417">
        <v>384</v>
      </c>
      <c r="B417" t="s">
        <v>488</v>
      </c>
      <c r="C417" t="s">
        <v>318</v>
      </c>
      <c r="D417" t="s">
        <v>67</v>
      </c>
      <c r="E417" t="s">
        <v>68</v>
      </c>
      <c r="F417" t="s">
        <v>68</v>
      </c>
      <c r="G417" t="s">
        <v>260</v>
      </c>
      <c r="H417" t="s">
        <v>106</v>
      </c>
      <c r="I417" t="s">
        <v>70</v>
      </c>
      <c r="J417" t="s">
        <v>71</v>
      </c>
      <c r="K417" t="s">
        <v>72</v>
      </c>
      <c r="L417" t="s">
        <v>68</v>
      </c>
      <c r="M417" t="s">
        <v>68</v>
      </c>
    </row>
  </sheetData>
  <phoneticPr fontId="2" type="noConversion"/>
  <pageMargins left="0.75" right="0.75" top="1" bottom="1" header="0.5" footer="0.5"/>
  <pageSetup orientation="portrait" horizontalDpi="300" verticalDpi="30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35"/>
  <sheetViews>
    <sheetView zoomScaleSheetLayoutView="100" workbookViewId="0">
      <selection activeCell="I163" sqref="I163"/>
    </sheetView>
  </sheetViews>
  <sheetFormatPr baseColWidth="10" defaultColWidth="8.6640625" defaultRowHeight="13"/>
  <cols>
    <col min="3" max="3" width="11" customWidth="1"/>
    <col min="8" max="8" width="12.5" customWidth="1"/>
    <col min="9" max="9" width="12.6640625" customWidth="1"/>
    <col min="12" max="12" width="11.6640625" customWidth="1"/>
  </cols>
  <sheetData>
    <row r="1" spans="1:12">
      <c r="A1" s="1" t="s">
        <v>490</v>
      </c>
      <c r="B1" s="1"/>
      <c r="C1" s="1"/>
      <c r="D1" s="1" t="s">
        <v>491</v>
      </c>
      <c r="E1" s="1"/>
      <c r="F1" s="1"/>
      <c r="G1" s="1" t="s">
        <v>491</v>
      </c>
      <c r="H1" s="1" t="s">
        <v>492</v>
      </c>
      <c r="I1" s="1" t="s">
        <v>492</v>
      </c>
      <c r="J1" s="1" t="s">
        <v>493</v>
      </c>
      <c r="K1" s="1" t="s">
        <v>494</v>
      </c>
      <c r="L1" s="5" t="s">
        <v>489</v>
      </c>
    </row>
    <row r="2" spans="1:12">
      <c r="A2" t="s">
        <v>505</v>
      </c>
      <c r="B2" t="s">
        <v>512</v>
      </c>
      <c r="C2" s="2">
        <v>4.6750001907348633</v>
      </c>
      <c r="D2" s="4">
        <f>AVERAGE(C2:C5)</f>
        <v>4.905250072479248</v>
      </c>
      <c r="E2" t="s">
        <v>504</v>
      </c>
      <c r="F2" s="14">
        <v>28.184999465942383</v>
      </c>
      <c r="G2" s="4">
        <f>AVERAGE(F2:F5)</f>
        <v>27.932499885559082</v>
      </c>
      <c r="H2" s="1">
        <f>(F2-C2)</f>
        <v>23.50999927520752</v>
      </c>
      <c r="I2" s="1">
        <v>23.50999927520752</v>
      </c>
      <c r="J2" s="1">
        <f>AVERAGE(I2:I5)</f>
        <v>23.027249813079834</v>
      </c>
      <c r="K2" s="1">
        <f>(I2-J$2)</f>
        <v>0.48274946212768555</v>
      </c>
      <c r="L2" s="5">
        <f t="shared" ref="L2:L25" si="0">2^(-K2)</f>
        <v>0.7156125222200258</v>
      </c>
    </row>
    <row r="3" spans="1:12">
      <c r="A3" t="s">
        <v>505</v>
      </c>
      <c r="B3" t="s">
        <v>512</v>
      </c>
      <c r="C3" s="2">
        <v>4.8499999046325684</v>
      </c>
      <c r="D3" s="1"/>
      <c r="E3" t="s">
        <v>504</v>
      </c>
      <c r="F3" s="14">
        <v>28.070999145507812</v>
      </c>
      <c r="G3" s="1"/>
      <c r="H3" s="1">
        <f>(F3-C3)</f>
        <v>23.220999240875244</v>
      </c>
      <c r="I3" s="1">
        <v>23.220999240875244</v>
      </c>
      <c r="J3" s="1"/>
      <c r="K3" s="1">
        <f>(I3-J$2)</f>
        <v>0.19374942779541016</v>
      </c>
      <c r="L3" s="5">
        <f t="shared" si="0"/>
        <v>0.87433046392632374</v>
      </c>
    </row>
    <row r="4" spans="1:12">
      <c r="A4" t="s">
        <v>505</v>
      </c>
      <c r="B4" t="s">
        <v>512</v>
      </c>
      <c r="C4" s="2">
        <v>4.9939999580383301</v>
      </c>
      <c r="D4" s="1"/>
      <c r="E4" t="s">
        <v>504</v>
      </c>
      <c r="F4" s="14">
        <v>27.965000152587891</v>
      </c>
      <c r="G4" s="1"/>
      <c r="H4" s="1">
        <f>(F4-C4)</f>
        <v>22.971000194549561</v>
      </c>
      <c r="I4" s="1">
        <v>22.971000194549561</v>
      </c>
      <c r="J4" s="1"/>
      <c r="K4" s="1">
        <f>(I4-J$2)</f>
        <v>-5.6249618530273438E-2</v>
      </c>
      <c r="L4" s="5">
        <f t="shared" si="0"/>
        <v>1.0397593212455545</v>
      </c>
    </row>
    <row r="5" spans="1:12">
      <c r="A5" t="s">
        <v>505</v>
      </c>
      <c r="B5" t="s">
        <v>512</v>
      </c>
      <c r="C5" s="2">
        <v>5.1020002365112305</v>
      </c>
      <c r="D5" s="1"/>
      <c r="E5" t="s">
        <v>504</v>
      </c>
      <c r="F5" s="14">
        <v>27.509000778198242</v>
      </c>
      <c r="G5" s="1"/>
      <c r="H5" s="1">
        <f>(F5-C5)</f>
        <v>22.407000541687012</v>
      </c>
      <c r="I5" s="1">
        <v>22.407000541687012</v>
      </c>
      <c r="J5" s="1"/>
      <c r="K5" s="1">
        <f>(I5-J$2)</f>
        <v>-0.62024927139282227</v>
      </c>
      <c r="L5" s="5">
        <f t="shared" si="0"/>
        <v>1.5371407482334463</v>
      </c>
    </row>
    <row r="6" spans="1:12">
      <c r="A6" t="s">
        <v>506</v>
      </c>
      <c r="B6" t="s">
        <v>512</v>
      </c>
      <c r="C6" s="2">
        <v>5.1760001182556152</v>
      </c>
      <c r="D6" s="4">
        <f>AVERAGE(C6:C9)</f>
        <v>5.2380000352859497</v>
      </c>
      <c r="E6" t="s">
        <v>504</v>
      </c>
      <c r="F6" s="14">
        <v>19.593999862670898</v>
      </c>
      <c r="G6" s="4">
        <f>AVERAGE(F6:F9)</f>
        <v>26.256999969482422</v>
      </c>
      <c r="H6" s="7">
        <v>23.325999736785889</v>
      </c>
      <c r="I6" s="6">
        <v>23.325999736785889</v>
      </c>
      <c r="J6" s="1">
        <f>AVERAGE(I6:I9)</f>
        <v>23.245999932289124</v>
      </c>
      <c r="K6" s="1">
        <f>(I6-I2)</f>
        <v>-0.18399953842163086</v>
      </c>
      <c r="L6" s="5">
        <f t="shared" si="0"/>
        <v>1.1360289013235589</v>
      </c>
    </row>
    <row r="7" spans="1:12">
      <c r="A7" t="s">
        <v>506</v>
      </c>
      <c r="B7" t="s">
        <v>512</v>
      </c>
      <c r="C7" s="2">
        <v>5.4860000610351562</v>
      </c>
      <c r="D7" s="1"/>
      <c r="E7" t="s">
        <v>504</v>
      </c>
      <c r="F7" s="14">
        <v>28.381999969482422</v>
      </c>
      <c r="G7" s="1"/>
      <c r="H7" s="1">
        <f t="shared" ref="H7:H13" si="1">(F7-C7)</f>
        <v>22.895999908447266</v>
      </c>
      <c r="I7" s="6">
        <v>22.895999908447266</v>
      </c>
      <c r="J7" s="1"/>
      <c r="K7" s="1">
        <f>(I7-I3)</f>
        <v>-0.32499933242797852</v>
      </c>
      <c r="L7" s="5">
        <f t="shared" si="0"/>
        <v>1.2526638589842771</v>
      </c>
    </row>
    <row r="8" spans="1:12">
      <c r="A8" t="s">
        <v>506</v>
      </c>
      <c r="B8" t="s">
        <v>512</v>
      </c>
      <c r="C8" s="2">
        <v>5.3239998817443848</v>
      </c>
      <c r="D8" s="1"/>
      <c r="E8" t="s">
        <v>504</v>
      </c>
      <c r="F8" s="14">
        <v>28.649999618530273</v>
      </c>
      <c r="G8" s="1"/>
      <c r="H8" s="1">
        <f t="shared" si="1"/>
        <v>23.325999736785889</v>
      </c>
      <c r="I8" s="6">
        <v>23.325999736785889</v>
      </c>
      <c r="J8" s="1"/>
      <c r="K8" s="1">
        <f>(I8-I4)</f>
        <v>0.35499954223632812</v>
      </c>
      <c r="L8" s="5">
        <f t="shared" si="0"/>
        <v>0.78186989121399308</v>
      </c>
    </row>
    <row r="9" spans="1:12">
      <c r="A9" t="s">
        <v>506</v>
      </c>
      <c r="B9" t="s">
        <v>512</v>
      </c>
      <c r="C9" s="2">
        <v>4.9660000801086426</v>
      </c>
      <c r="D9" s="1"/>
      <c r="E9" t="s">
        <v>504</v>
      </c>
      <c r="F9" s="14">
        <v>28.402000427246094</v>
      </c>
      <c r="G9" s="1"/>
      <c r="H9" s="1">
        <f t="shared" si="1"/>
        <v>23.436000347137451</v>
      </c>
      <c r="I9" s="6">
        <v>23.436000347137451</v>
      </c>
      <c r="J9" s="1"/>
      <c r="K9" s="1">
        <f>(I9-I5)</f>
        <v>1.0289998054504395</v>
      </c>
      <c r="L9" s="5">
        <f t="shared" si="0"/>
        <v>0.4900497737548678</v>
      </c>
    </row>
    <row r="10" spans="1:12">
      <c r="A10" t="s">
        <v>507</v>
      </c>
      <c r="B10" t="s">
        <v>512</v>
      </c>
      <c r="C10" s="2">
        <v>5.6570000648498535</v>
      </c>
      <c r="D10" s="4">
        <f>AVERAGE(C10:C13)</f>
        <v>5.530500054359436</v>
      </c>
      <c r="E10" t="s">
        <v>504</v>
      </c>
      <c r="F10" s="14">
        <v>27.670999526977539</v>
      </c>
      <c r="G10" s="4">
        <f>AVERAGE(F10:F13)</f>
        <v>27.756249904632568</v>
      </c>
      <c r="H10" s="1">
        <f t="shared" si="1"/>
        <v>22.013999462127686</v>
      </c>
      <c r="I10" s="6">
        <v>22.013999462127686</v>
      </c>
      <c r="J10" s="1">
        <f>AVERAGE(I10:I13)</f>
        <v>22.225749850273132</v>
      </c>
      <c r="K10" s="1">
        <f>(I10-J$2)</f>
        <v>-1.0132503509521484</v>
      </c>
      <c r="L10" s="5">
        <f t="shared" si="0"/>
        <v>2.0184534996507013</v>
      </c>
    </row>
    <row r="11" spans="1:12">
      <c r="A11" t="s">
        <v>507</v>
      </c>
      <c r="B11" t="s">
        <v>512</v>
      </c>
      <c r="C11" s="2">
        <v>5.5269999504089355</v>
      </c>
      <c r="D11" s="1"/>
      <c r="E11" t="s">
        <v>504</v>
      </c>
      <c r="F11" s="14">
        <v>27.781000137329102</v>
      </c>
      <c r="G11" s="1"/>
      <c r="H11" s="1">
        <f t="shared" si="1"/>
        <v>22.254000186920166</v>
      </c>
      <c r="I11" s="6">
        <v>22.254000186920166</v>
      </c>
      <c r="J11" s="1"/>
      <c r="K11" s="1">
        <f>(I11-J$2)</f>
        <v>-0.77324962615966797</v>
      </c>
      <c r="L11" s="5">
        <f t="shared" si="0"/>
        <v>1.7091151804120284</v>
      </c>
    </row>
    <row r="12" spans="1:12">
      <c r="A12" t="s">
        <v>507</v>
      </c>
      <c r="B12" t="s">
        <v>512</v>
      </c>
      <c r="C12" s="2">
        <v>5.6110000610351562</v>
      </c>
      <c r="D12" s="1"/>
      <c r="E12" t="s">
        <v>504</v>
      </c>
      <c r="F12" s="14">
        <v>27.87299919128418</v>
      </c>
      <c r="G12" s="1"/>
      <c r="H12" s="1">
        <f t="shared" si="1"/>
        <v>22.261999130249023</v>
      </c>
      <c r="I12" s="6">
        <v>22.261999130249023</v>
      </c>
      <c r="J12" s="1"/>
      <c r="K12" s="1">
        <f>(I12-J$2)</f>
        <v>-0.76525068283081055</v>
      </c>
      <c r="L12" s="5">
        <f t="shared" si="0"/>
        <v>1.6996653066293657</v>
      </c>
    </row>
    <row r="13" spans="1:12">
      <c r="A13" t="s">
        <v>507</v>
      </c>
      <c r="B13" t="s">
        <v>512</v>
      </c>
      <c r="C13" s="2">
        <v>5.3270001411437988</v>
      </c>
      <c r="D13" s="1"/>
      <c r="E13" t="s">
        <v>504</v>
      </c>
      <c r="F13" s="14">
        <v>27.700000762939453</v>
      </c>
      <c r="G13" s="1"/>
      <c r="H13" s="1">
        <f t="shared" si="1"/>
        <v>22.373000621795654</v>
      </c>
      <c r="I13" s="6">
        <v>22.373000621795654</v>
      </c>
      <c r="J13" s="1"/>
      <c r="K13" s="1">
        <f>(I13-J$2)</f>
        <v>-0.65424919128417969</v>
      </c>
      <c r="L13" s="5">
        <f t="shared" si="0"/>
        <v>1.5737967032127331</v>
      </c>
    </row>
    <row r="14" spans="1:12">
      <c r="A14" t="s">
        <v>511</v>
      </c>
      <c r="B14" t="s">
        <v>512</v>
      </c>
      <c r="C14" s="2">
        <v>5.7940001487731934</v>
      </c>
      <c r="D14" s="4">
        <f>AVERAGE(C14:C17)</f>
        <v>5.9465001821517944</v>
      </c>
      <c r="E14" t="s">
        <v>504</v>
      </c>
      <c r="F14" s="14">
        <v>24.77400016784668</v>
      </c>
      <c r="G14" s="4">
        <f>AVERAGE(F14:F17)</f>
        <v>26.431250095367432</v>
      </c>
      <c r="H14" s="7">
        <f>(F14-C17)</f>
        <v>18.789999961853027</v>
      </c>
      <c r="I14" s="6">
        <v>18.789999961853027</v>
      </c>
      <c r="J14" s="1">
        <f>AVERAGE(I14:I17)</f>
        <v>20.437249898910522</v>
      </c>
      <c r="K14" s="1">
        <f>(I14-I10)</f>
        <v>-3.2239995002746582</v>
      </c>
      <c r="L14" s="5">
        <f t="shared" si="0"/>
        <v>9.3437359203911257</v>
      </c>
    </row>
    <row r="15" spans="1:12">
      <c r="A15" t="s">
        <v>511</v>
      </c>
      <c r="B15" t="s">
        <v>512</v>
      </c>
      <c r="C15" s="2">
        <v>6.0300002098083496</v>
      </c>
      <c r="D15" s="1"/>
      <c r="E15" t="s">
        <v>504</v>
      </c>
      <c r="F15" s="14">
        <v>27.250999450683594</v>
      </c>
      <c r="G15" s="1"/>
      <c r="H15" s="1">
        <f t="shared" ref="H15:H21" si="2">(F15-C15)</f>
        <v>21.220999240875244</v>
      </c>
      <c r="I15" s="6">
        <v>21.220999240875244</v>
      </c>
      <c r="J15" s="1"/>
      <c r="K15" s="1">
        <f>(I15-I11)</f>
        <v>-1.0330009460449219</v>
      </c>
      <c r="L15" s="5">
        <f t="shared" si="0"/>
        <v>2.0462762813107607</v>
      </c>
    </row>
    <row r="16" spans="1:12">
      <c r="A16" t="s">
        <v>511</v>
      </c>
      <c r="B16" t="s">
        <v>512</v>
      </c>
      <c r="C16" s="2">
        <v>5.9780001640319824</v>
      </c>
      <c r="D16" s="1"/>
      <c r="E16" t="s">
        <v>504</v>
      </c>
      <c r="F16" s="14">
        <v>26.936000823974609</v>
      </c>
      <c r="G16" s="1"/>
      <c r="H16" s="1">
        <f t="shared" si="2"/>
        <v>20.958000659942627</v>
      </c>
      <c r="I16" s="6">
        <v>20.958000659942627</v>
      </c>
      <c r="J16" s="1"/>
      <c r="K16" s="1">
        <f>(I16-I12)</f>
        <v>-1.3039984703063965</v>
      </c>
      <c r="L16" s="5">
        <f t="shared" si="0"/>
        <v>2.469122595768066</v>
      </c>
    </row>
    <row r="17" spans="1:12">
      <c r="A17" t="s">
        <v>511</v>
      </c>
      <c r="B17" t="s">
        <v>512</v>
      </c>
      <c r="C17" s="2">
        <v>5.9840002059936523</v>
      </c>
      <c r="D17" s="1"/>
      <c r="E17" t="s">
        <v>504</v>
      </c>
      <c r="F17" s="14">
        <v>26.763999938964844</v>
      </c>
      <c r="G17" s="1"/>
      <c r="H17" s="1">
        <f t="shared" si="2"/>
        <v>20.779999732971191</v>
      </c>
      <c r="I17" s="6">
        <v>20.779999732971191</v>
      </c>
      <c r="J17" s="1"/>
      <c r="K17" s="1">
        <f>(I17-I13)</f>
        <v>-1.5930008888244629</v>
      </c>
      <c r="L17" s="5">
        <f t="shared" si="0"/>
        <v>3.0167620119579399</v>
      </c>
    </row>
    <row r="18" spans="1:12">
      <c r="A18" t="s">
        <v>509</v>
      </c>
      <c r="B18" t="s">
        <v>512</v>
      </c>
      <c r="C18" s="2">
        <v>5.1279997825622559</v>
      </c>
      <c r="D18" s="4">
        <f>AVERAGE(C18:C21)</f>
        <v>5.3614999055862427</v>
      </c>
      <c r="E18" t="s">
        <v>504</v>
      </c>
      <c r="F18" s="14">
        <v>27.708000183105469</v>
      </c>
      <c r="G18" s="4">
        <f>AVERAGE(F18:F21)</f>
        <v>27.732250213623047</v>
      </c>
      <c r="H18" s="1">
        <f t="shared" si="2"/>
        <v>22.580000400543213</v>
      </c>
      <c r="I18" s="6">
        <v>22.580000400543213</v>
      </c>
      <c r="J18" s="1">
        <f>AVERAGE(I18:I21)</f>
        <v>22.370750308036804</v>
      </c>
      <c r="K18" s="1">
        <f>(I18-J$2)</f>
        <v>-0.44724941253662109</v>
      </c>
      <c r="L18" s="5">
        <f t="shared" si="0"/>
        <v>1.3634382975717116</v>
      </c>
    </row>
    <row r="19" spans="1:12">
      <c r="A19" t="s">
        <v>509</v>
      </c>
      <c r="B19" t="s">
        <v>512</v>
      </c>
      <c r="C19" s="2">
        <v>5.554999828338623</v>
      </c>
      <c r="D19" s="1"/>
      <c r="E19" t="s">
        <v>504</v>
      </c>
      <c r="F19" s="14">
        <v>27.783000946044922</v>
      </c>
      <c r="G19" s="1"/>
      <c r="H19" s="1">
        <f t="shared" si="2"/>
        <v>22.228001117706299</v>
      </c>
      <c r="I19" s="6">
        <v>22.228001117706299</v>
      </c>
      <c r="J19" s="1"/>
      <c r="K19" s="1">
        <f>(I19-J$2)</f>
        <v>-0.79924869537353516</v>
      </c>
      <c r="L19" s="5">
        <f t="shared" si="0"/>
        <v>1.7401946586637129</v>
      </c>
    </row>
    <row r="20" spans="1:12">
      <c r="A20" t="s">
        <v>509</v>
      </c>
      <c r="B20" t="s">
        <v>512</v>
      </c>
      <c r="C20" s="2">
        <v>5.6669998168945312</v>
      </c>
      <c r="D20" s="1"/>
      <c r="E20" t="s">
        <v>504</v>
      </c>
      <c r="F20" s="14">
        <v>27.795000076293945</v>
      </c>
      <c r="G20" s="1"/>
      <c r="H20" s="1">
        <f t="shared" si="2"/>
        <v>22.128000259399414</v>
      </c>
      <c r="I20" s="6">
        <v>22.128000259399414</v>
      </c>
      <c r="J20" s="1"/>
      <c r="K20" s="1">
        <f>(I20-J$2)</f>
        <v>-0.89924955368041992</v>
      </c>
      <c r="L20" s="5">
        <f t="shared" si="0"/>
        <v>1.8650955644097345</v>
      </c>
    </row>
    <row r="21" spans="1:12">
      <c r="A21" t="s">
        <v>509</v>
      </c>
      <c r="B21" t="s">
        <v>512</v>
      </c>
      <c r="C21" s="2">
        <v>5.0960001945495605</v>
      </c>
      <c r="D21" s="1"/>
      <c r="E21" t="s">
        <v>504</v>
      </c>
      <c r="F21" s="14">
        <v>27.642999649047852</v>
      </c>
      <c r="G21" s="1"/>
      <c r="H21" s="1">
        <f t="shared" si="2"/>
        <v>22.546999454498291</v>
      </c>
      <c r="I21" s="6">
        <v>22.546999454498291</v>
      </c>
      <c r="J21" s="1"/>
      <c r="K21" s="1">
        <f>(I21-J$2)</f>
        <v>-0.48025035858154297</v>
      </c>
      <c r="L21" s="5">
        <f t="shared" si="0"/>
        <v>1.3949857246758581</v>
      </c>
    </row>
    <row r="22" spans="1:12">
      <c r="A22" t="s">
        <v>510</v>
      </c>
      <c r="B22" t="s">
        <v>512</v>
      </c>
      <c r="C22" s="2">
        <v>5.5130000114440918</v>
      </c>
      <c r="D22" s="4">
        <f>AVERAGE(C22:C25)</f>
        <v>5.5144999027252197</v>
      </c>
      <c r="E22" t="s">
        <v>504</v>
      </c>
      <c r="F22" s="14">
        <v>27.413999557495117</v>
      </c>
      <c r="G22" s="4">
        <f>AVERAGE(F22:F25)</f>
        <v>27.537999629974365</v>
      </c>
      <c r="H22" s="7">
        <f>(F22-C25)</f>
        <v>21.911999702453613</v>
      </c>
      <c r="I22" s="6">
        <v>21.911999702453613</v>
      </c>
      <c r="J22" s="1">
        <f>AVERAGE(I22:I25)</f>
        <v>22.026249766349792</v>
      </c>
      <c r="K22" s="1">
        <f>(I22-I18)</f>
        <v>-0.66800069808959961</v>
      </c>
      <c r="L22" s="5">
        <f t="shared" si="0"/>
        <v>1.5888695690123837</v>
      </c>
    </row>
    <row r="23" spans="1:12">
      <c r="A23" t="s">
        <v>510</v>
      </c>
      <c r="B23" t="s">
        <v>512</v>
      </c>
      <c r="C23" s="2">
        <v>5.5069999694824219</v>
      </c>
      <c r="D23" s="1"/>
      <c r="E23" t="s">
        <v>504</v>
      </c>
      <c r="F23" s="14">
        <v>27.26099967956543</v>
      </c>
      <c r="G23" s="1"/>
      <c r="H23" s="1">
        <f>(F23-C23)</f>
        <v>21.753999710083008</v>
      </c>
      <c r="I23" s="6">
        <v>21.753999710083008</v>
      </c>
      <c r="J23" s="1"/>
      <c r="K23" s="1">
        <f>(I23-I19)</f>
        <v>-0.47400140762329102</v>
      </c>
      <c r="L23" s="5">
        <f t="shared" si="0"/>
        <v>1.3889564909555685</v>
      </c>
    </row>
    <row r="24" spans="1:12">
      <c r="A24" t="s">
        <v>510</v>
      </c>
      <c r="B24" t="s">
        <v>512</v>
      </c>
      <c r="C24" s="2">
        <v>5.5359997749328613</v>
      </c>
      <c r="D24" s="1"/>
      <c r="E24" t="s">
        <v>504</v>
      </c>
      <c r="F24" s="14">
        <v>27.871999740600586</v>
      </c>
      <c r="G24" s="1"/>
      <c r="H24" s="1">
        <f>(F24-C24)</f>
        <v>22.335999965667725</v>
      </c>
      <c r="I24" s="6">
        <v>22.335999965667725</v>
      </c>
      <c r="J24" s="1"/>
      <c r="K24" s="1">
        <f>(I24-I20)</f>
        <v>0.20799970626831055</v>
      </c>
      <c r="L24" s="5">
        <f t="shared" si="0"/>
        <v>0.8657367417830284</v>
      </c>
    </row>
    <row r="25" spans="1:12">
      <c r="A25" t="s">
        <v>510</v>
      </c>
      <c r="B25" t="s">
        <v>512</v>
      </c>
      <c r="C25" s="2">
        <v>5.5019998550415039</v>
      </c>
      <c r="D25" s="1"/>
      <c r="E25" t="s">
        <v>504</v>
      </c>
      <c r="F25" s="14">
        <v>27.604999542236328</v>
      </c>
      <c r="G25" s="1"/>
      <c r="H25" s="1">
        <f>(F25-C25)</f>
        <v>22.102999687194824</v>
      </c>
      <c r="I25" s="6">
        <v>22.102999687194824</v>
      </c>
      <c r="J25" s="1"/>
      <c r="K25" s="1">
        <f>(I25-I21)</f>
        <v>-0.4439997673034668</v>
      </c>
      <c r="L25" s="5">
        <f t="shared" si="0"/>
        <v>1.3603706329877503</v>
      </c>
    </row>
    <row r="26" spans="1:12">
      <c r="B26" s="1"/>
      <c r="C26" s="8"/>
      <c r="D26" s="1"/>
      <c r="E26" s="1"/>
      <c r="F26" s="2"/>
      <c r="G26" s="1"/>
      <c r="H26" s="1"/>
      <c r="I26" s="6"/>
      <c r="J26" s="1"/>
      <c r="K26" s="1"/>
      <c r="L26" s="5"/>
    </row>
    <row r="27" spans="1:12">
      <c r="A27" s="1"/>
      <c r="B27" s="1"/>
      <c r="C27" s="8"/>
      <c r="D27" s="1"/>
      <c r="E27" s="1"/>
      <c r="F27" s="8"/>
      <c r="G27" s="1"/>
      <c r="H27" s="1"/>
      <c r="I27" s="6"/>
      <c r="J27" s="1"/>
      <c r="K27" s="1"/>
      <c r="L27" s="5"/>
    </row>
    <row r="28" spans="1:12">
      <c r="A28" s="1"/>
      <c r="B28" s="1"/>
      <c r="C28" s="3"/>
      <c r="D28" s="1"/>
      <c r="E28" s="1"/>
      <c r="F28" s="3"/>
      <c r="G28" s="1"/>
      <c r="H28" s="1"/>
      <c r="I28" s="6"/>
      <c r="J28" s="1"/>
      <c r="K28" s="1"/>
      <c r="L28" s="5"/>
    </row>
    <row r="29" spans="1:12">
      <c r="A29" t="s">
        <v>505</v>
      </c>
      <c r="B29" t="s">
        <v>512</v>
      </c>
      <c r="C29" s="2">
        <v>4.6750001907348633</v>
      </c>
      <c r="D29" s="4">
        <f>AVERAGE(C29:C32)</f>
        <v>4.905250072479248</v>
      </c>
      <c r="E29" t="s">
        <v>501</v>
      </c>
      <c r="F29" s="15">
        <v>27.300999999999998</v>
      </c>
      <c r="G29" s="4">
        <f>AVERAGE(F29:F32)</f>
        <v>27.117250000000002</v>
      </c>
      <c r="H29" s="1">
        <f>(F29-C29)</f>
        <v>22.625999809265135</v>
      </c>
      <c r="I29" s="10">
        <v>22.625999809265135</v>
      </c>
      <c r="J29" s="1">
        <f>AVERAGE(I29:I32)</f>
        <v>22.211999927520754</v>
      </c>
      <c r="K29" s="1">
        <f>(I29-J$2)</f>
        <v>-0.40125000381469889</v>
      </c>
      <c r="L29" s="5">
        <f t="shared" ref="L29:L52" si="3">2^(-K29)</f>
        <v>1.320651676175528</v>
      </c>
    </row>
    <row r="30" spans="1:12">
      <c r="A30" t="s">
        <v>505</v>
      </c>
      <c r="B30" t="s">
        <v>512</v>
      </c>
      <c r="C30" s="2">
        <v>4.8499999046325684</v>
      </c>
      <c r="D30" s="1"/>
      <c r="E30" t="s">
        <v>501</v>
      </c>
      <c r="F30" s="15">
        <v>26.984999999999999</v>
      </c>
      <c r="G30" s="1"/>
      <c r="H30" s="1">
        <f>(F30-C30)</f>
        <v>22.135000095367431</v>
      </c>
      <c r="I30" s="10">
        <v>22.135000095367431</v>
      </c>
      <c r="J30" s="1"/>
      <c r="K30" s="1">
        <f>(I30-J$2)</f>
        <v>-0.89224971771240291</v>
      </c>
      <c r="L30" s="5">
        <f t="shared" si="3"/>
        <v>1.8560681940776604</v>
      </c>
    </row>
    <row r="31" spans="1:12">
      <c r="A31" t="s">
        <v>505</v>
      </c>
      <c r="B31" t="s">
        <v>512</v>
      </c>
      <c r="C31" s="2">
        <v>4.9939999580383301</v>
      </c>
      <c r="D31" s="1"/>
      <c r="E31" t="s">
        <v>501</v>
      </c>
      <c r="F31" s="15">
        <v>26.922999999999998</v>
      </c>
      <c r="G31" s="1"/>
      <c r="H31" s="1">
        <f>(F31-C31)</f>
        <v>21.929000041961668</v>
      </c>
      <c r="I31" s="10">
        <v>21.929000041961668</v>
      </c>
      <c r="J31" s="1"/>
      <c r="K31" s="1">
        <f>(I31-J$2)</f>
        <v>-1.0982497711181658</v>
      </c>
      <c r="L31" s="5">
        <f t="shared" si="3"/>
        <v>2.1409480231320615</v>
      </c>
    </row>
    <row r="32" spans="1:12">
      <c r="A32" t="s">
        <v>505</v>
      </c>
      <c r="B32" t="s">
        <v>512</v>
      </c>
      <c r="C32" s="2">
        <v>5.1020002365112305</v>
      </c>
      <c r="D32" s="1"/>
      <c r="E32" t="s">
        <v>501</v>
      </c>
      <c r="F32" s="15">
        <v>27.26</v>
      </c>
      <c r="G32" s="1"/>
      <c r="H32" s="1">
        <f>(F32-C32)</f>
        <v>22.157999763488771</v>
      </c>
      <c r="I32" s="10">
        <v>22.157999763488771</v>
      </c>
      <c r="J32" s="1"/>
      <c r="K32" s="1">
        <f>(I32-J$2)</f>
        <v>-0.86925004959106289</v>
      </c>
      <c r="L32" s="5">
        <f t="shared" si="3"/>
        <v>1.8267130806347762</v>
      </c>
    </row>
    <row r="33" spans="1:12">
      <c r="A33" t="s">
        <v>506</v>
      </c>
      <c r="B33" t="s">
        <v>512</v>
      </c>
      <c r="C33" s="2">
        <v>5.1760001182556152</v>
      </c>
      <c r="D33" s="4">
        <f>AVERAGE(C33:C36)</f>
        <v>5.2380000352859497</v>
      </c>
      <c r="E33" t="s">
        <v>501</v>
      </c>
      <c r="F33" s="15">
        <v>26.637</v>
      </c>
      <c r="G33" s="4">
        <f>AVERAGE(F33:F36)</f>
        <v>26.594249999999999</v>
      </c>
      <c r="H33" s="7">
        <f>(F33-C36)</f>
        <v>21.670999919891358</v>
      </c>
      <c r="I33" s="12">
        <v>21.670999919891358</v>
      </c>
      <c r="J33" s="1">
        <f>AVERAGE(I33:I36)</f>
        <v>21.408749974250792</v>
      </c>
      <c r="K33" s="1">
        <f>(I33-I29)</f>
        <v>-0.95499988937377722</v>
      </c>
      <c r="L33" s="5">
        <f t="shared" si="3"/>
        <v>1.9385794852193561</v>
      </c>
    </row>
    <row r="34" spans="1:12">
      <c r="A34" t="s">
        <v>506</v>
      </c>
      <c r="B34" t="s">
        <v>512</v>
      </c>
      <c r="C34" s="2">
        <v>5.4860000610351562</v>
      </c>
      <c r="D34" s="1"/>
      <c r="E34" t="s">
        <v>501</v>
      </c>
      <c r="F34" s="15">
        <v>26.606999999999999</v>
      </c>
      <c r="G34" s="1"/>
      <c r="H34" s="1">
        <f t="shared" ref="H34:H40" si="4">(F34-C34)</f>
        <v>21.120999938964843</v>
      </c>
      <c r="I34" s="10">
        <v>21.120999938964843</v>
      </c>
      <c r="J34" s="1"/>
      <c r="K34" s="1">
        <f>(I34-I30)</f>
        <v>-1.014000156402588</v>
      </c>
      <c r="L34" s="5">
        <f t="shared" si="3"/>
        <v>2.0195028141276854</v>
      </c>
    </row>
    <row r="35" spans="1:12">
      <c r="A35" t="s">
        <v>506</v>
      </c>
      <c r="B35" t="s">
        <v>512</v>
      </c>
      <c r="C35" s="2">
        <v>5.3239998817443848</v>
      </c>
      <c r="D35" s="1"/>
      <c r="E35" t="s">
        <v>501</v>
      </c>
      <c r="F35" s="15">
        <v>26.594999999999999</v>
      </c>
      <c r="G35" s="1"/>
      <c r="H35" s="1">
        <f t="shared" si="4"/>
        <v>21.271000118255614</v>
      </c>
      <c r="I35" s="10">
        <v>21.271000118255614</v>
      </c>
      <c r="J35" s="1"/>
      <c r="K35" s="1">
        <f>(I35-I31)</f>
        <v>-0.65799992370605409</v>
      </c>
      <c r="L35" s="5">
        <f t="shared" si="3"/>
        <v>1.5778935982612861</v>
      </c>
    </row>
    <row r="36" spans="1:12">
      <c r="A36" t="s">
        <v>506</v>
      </c>
      <c r="B36" t="s">
        <v>512</v>
      </c>
      <c r="C36" s="2">
        <v>4.9660000801086426</v>
      </c>
      <c r="D36" s="1"/>
      <c r="E36" t="s">
        <v>501</v>
      </c>
      <c r="F36" s="15">
        <v>26.538</v>
      </c>
      <c r="G36" s="1"/>
      <c r="H36" s="1">
        <f t="shared" si="4"/>
        <v>21.571999919891358</v>
      </c>
      <c r="I36" s="10">
        <v>21.571999919891358</v>
      </c>
      <c r="J36" s="1"/>
      <c r="K36" s="1">
        <f>(I36-I32)</f>
        <v>-0.58599984359741342</v>
      </c>
      <c r="L36" s="5">
        <f t="shared" si="3"/>
        <v>1.501078934782377</v>
      </c>
    </row>
    <row r="37" spans="1:12">
      <c r="A37" t="s">
        <v>507</v>
      </c>
      <c r="B37" t="s">
        <v>512</v>
      </c>
      <c r="C37" s="2">
        <v>5.6570000648498535</v>
      </c>
      <c r="D37" s="4">
        <f>AVERAGE(C37:C40)</f>
        <v>5.530500054359436</v>
      </c>
      <c r="E37" t="s">
        <v>501</v>
      </c>
      <c r="F37" s="15">
        <v>27.417000000000002</v>
      </c>
      <c r="G37" s="4">
        <f>AVERAGE(F37:F40)</f>
        <v>27.321750000000002</v>
      </c>
      <c r="H37" s="1">
        <f t="shared" si="4"/>
        <v>21.759999935150148</v>
      </c>
      <c r="I37" s="10">
        <v>21.759999935150148</v>
      </c>
      <c r="J37" s="1">
        <f>AVERAGE(I37:I40)</f>
        <v>21.791249945640565</v>
      </c>
      <c r="K37" s="1">
        <f>(I37-J$2)</f>
        <v>-1.2672498779296859</v>
      </c>
      <c r="L37" s="5">
        <f t="shared" si="3"/>
        <v>2.4070229175194653</v>
      </c>
    </row>
    <row r="38" spans="1:12">
      <c r="A38" t="s">
        <v>507</v>
      </c>
      <c r="B38" t="s">
        <v>512</v>
      </c>
      <c r="C38" s="2">
        <v>5.5269999504089355</v>
      </c>
      <c r="D38" s="1"/>
      <c r="E38" t="s">
        <v>501</v>
      </c>
      <c r="F38" s="15">
        <v>27.393999999999998</v>
      </c>
      <c r="G38" s="1"/>
      <c r="H38" s="1">
        <f t="shared" si="4"/>
        <v>21.867000049591063</v>
      </c>
      <c r="I38" s="10">
        <v>21.867000049591063</v>
      </c>
      <c r="J38" s="1"/>
      <c r="K38" s="1">
        <f>(I38-J$2)</f>
        <v>-1.1602497634887712</v>
      </c>
      <c r="L38" s="5">
        <f t="shared" si="3"/>
        <v>2.2349611655183788</v>
      </c>
    </row>
    <row r="39" spans="1:12">
      <c r="A39" t="s">
        <v>507</v>
      </c>
      <c r="B39" t="s">
        <v>512</v>
      </c>
      <c r="C39" s="2">
        <v>5.6110000610351562</v>
      </c>
      <c r="D39" s="1"/>
      <c r="E39" t="s">
        <v>501</v>
      </c>
      <c r="F39" s="15">
        <v>27.419</v>
      </c>
      <c r="G39" s="1"/>
      <c r="H39" s="1">
        <f t="shared" si="4"/>
        <v>21.807999938964844</v>
      </c>
      <c r="I39" s="10">
        <v>21.807999938964844</v>
      </c>
      <c r="J39" s="1"/>
      <c r="K39" s="1">
        <f>(I39-J$2)</f>
        <v>-1.2192498741149898</v>
      </c>
      <c r="L39" s="5">
        <f t="shared" si="3"/>
        <v>2.3282562867985974</v>
      </c>
    </row>
    <row r="40" spans="1:12">
      <c r="A40" t="s">
        <v>507</v>
      </c>
      <c r="B40" t="s">
        <v>512</v>
      </c>
      <c r="C40" s="2">
        <v>5.3270001411437988</v>
      </c>
      <c r="D40" s="1"/>
      <c r="E40" t="s">
        <v>501</v>
      </c>
      <c r="F40" s="15">
        <v>27.056999999999999</v>
      </c>
      <c r="G40" s="1"/>
      <c r="H40" s="1">
        <f t="shared" si="4"/>
        <v>21.7299998588562</v>
      </c>
      <c r="I40" s="10">
        <v>21.7299998588562</v>
      </c>
      <c r="J40" s="1"/>
      <c r="K40" s="1">
        <f>(I40-J$2)</f>
        <v>-1.2972499542236342</v>
      </c>
      <c r="L40" s="5">
        <f t="shared" si="3"/>
        <v>2.4575997156075622</v>
      </c>
    </row>
    <row r="41" spans="1:12">
      <c r="A41" t="s">
        <v>511</v>
      </c>
      <c r="B41" t="s">
        <v>512</v>
      </c>
      <c r="C41" s="2">
        <v>5.7940001487731934</v>
      </c>
      <c r="D41" s="4">
        <f>AVERAGE(C41:C44)</f>
        <v>5.9465001821517944</v>
      </c>
      <c r="E41" t="s">
        <v>501</v>
      </c>
      <c r="F41" s="15">
        <v>28.257000000000001</v>
      </c>
      <c r="G41" s="4">
        <f>AVERAGE(F41:F44)</f>
        <v>29.704250000000002</v>
      </c>
      <c r="H41" s="7">
        <f>(F41-C44)</f>
        <v>22.272999794006349</v>
      </c>
      <c r="I41" s="12">
        <v>22.272999794006349</v>
      </c>
      <c r="J41" s="1">
        <f>AVERAGE(I41:I44)</f>
        <v>23.710249803543093</v>
      </c>
      <c r="K41" s="1">
        <f>(I41-I37)</f>
        <v>0.51299985885620103</v>
      </c>
      <c r="L41" s="5">
        <f t="shared" si="3"/>
        <v>0.70076379309849257</v>
      </c>
    </row>
    <row r="42" spans="1:12">
      <c r="A42" t="s">
        <v>511</v>
      </c>
      <c r="B42" t="s">
        <v>512</v>
      </c>
      <c r="C42" s="2">
        <v>6.0300002098083496</v>
      </c>
      <c r="D42" s="1"/>
      <c r="E42" t="s">
        <v>501</v>
      </c>
      <c r="F42" s="15">
        <v>28.835000000000001</v>
      </c>
      <c r="G42" s="1"/>
      <c r="H42" s="1">
        <f t="shared" ref="H42:H48" si="5">(F42-C42)</f>
        <v>22.804999790191651</v>
      </c>
      <c r="I42" s="10">
        <v>22.804999790191651</v>
      </c>
      <c r="J42" s="1"/>
      <c r="K42" s="1">
        <f>(I42-I38)</f>
        <v>0.93799974060058844</v>
      </c>
      <c r="L42" s="5">
        <f t="shared" si="3"/>
        <v>0.52195605755957886</v>
      </c>
    </row>
    <row r="43" spans="1:12">
      <c r="A43" t="s">
        <v>511</v>
      </c>
      <c r="B43" t="s">
        <v>512</v>
      </c>
      <c r="C43" s="2">
        <v>5.9780001640319824</v>
      </c>
      <c r="D43" s="1"/>
      <c r="E43" t="s">
        <v>501</v>
      </c>
      <c r="F43" s="15">
        <v>28.757000000000001</v>
      </c>
      <c r="G43" s="1"/>
      <c r="H43" s="1">
        <f t="shared" si="5"/>
        <v>22.778999835968019</v>
      </c>
      <c r="I43" s="10">
        <v>22.778999835968019</v>
      </c>
      <c r="J43" s="1"/>
      <c r="K43" s="1">
        <f>(I43-I39)</f>
        <v>0.97099989700317479</v>
      </c>
      <c r="L43" s="5">
        <f t="shared" si="3"/>
        <v>0.51015236604500436</v>
      </c>
    </row>
    <row r="44" spans="1:12">
      <c r="A44" t="s">
        <v>511</v>
      </c>
      <c r="B44" t="s">
        <v>512</v>
      </c>
      <c r="C44" s="2">
        <v>5.9840002059936523</v>
      </c>
      <c r="D44" s="1"/>
      <c r="E44" t="s">
        <v>501</v>
      </c>
      <c r="F44" s="15">
        <v>32.968000000000004</v>
      </c>
      <c r="G44" s="1"/>
      <c r="H44" s="1">
        <f t="shared" si="5"/>
        <v>26.983999794006351</v>
      </c>
      <c r="I44" s="10">
        <v>26.983999794006351</v>
      </c>
      <c r="J44" s="1"/>
      <c r="K44" s="1">
        <f>(I44-I40)</f>
        <v>5.2539999351501514</v>
      </c>
      <c r="L44" s="5">
        <f t="shared" si="3"/>
        <v>2.6205256941718203E-2</v>
      </c>
    </row>
    <row r="45" spans="1:12">
      <c r="A45" t="s">
        <v>509</v>
      </c>
      <c r="B45" t="s">
        <v>512</v>
      </c>
      <c r="C45" s="2">
        <v>5.1279997825622559</v>
      </c>
      <c r="D45" s="4">
        <f>AVERAGE(C45:C48)</f>
        <v>5.3614999055862427</v>
      </c>
      <c r="E45" t="s">
        <v>501</v>
      </c>
      <c r="F45" s="15">
        <v>27.169</v>
      </c>
      <c r="G45" s="4">
        <f>AVERAGE(F45:F48)</f>
        <v>27.141249999999999</v>
      </c>
      <c r="H45" s="1">
        <f t="shared" si="5"/>
        <v>22.041000217437745</v>
      </c>
      <c r="I45" s="10">
        <v>22.041000217437745</v>
      </c>
      <c r="J45" s="1">
        <f>AVERAGE(I45:I48)</f>
        <v>21.779750094413757</v>
      </c>
      <c r="K45" s="1">
        <f>(I45-J$2)</f>
        <v>-0.98624959564208936</v>
      </c>
      <c r="L45" s="5">
        <f t="shared" si="3"/>
        <v>1.9810284450489968</v>
      </c>
    </row>
    <row r="46" spans="1:12">
      <c r="A46" t="s">
        <v>509</v>
      </c>
      <c r="B46" t="s">
        <v>512</v>
      </c>
      <c r="C46" s="2">
        <v>5.554999828338623</v>
      </c>
      <c r="D46" s="1"/>
      <c r="E46" t="s">
        <v>501</v>
      </c>
      <c r="F46" s="15">
        <v>27.140999999999998</v>
      </c>
      <c r="G46" s="1"/>
      <c r="H46" s="1">
        <f t="shared" si="5"/>
        <v>21.586000171661375</v>
      </c>
      <c r="I46" s="10">
        <v>21.586000171661375</v>
      </c>
      <c r="J46" s="1"/>
      <c r="K46" s="1">
        <f>(I46-J$2)</f>
        <v>-1.4412496414184588</v>
      </c>
      <c r="L46" s="5">
        <f t="shared" si="3"/>
        <v>2.7155598148129076</v>
      </c>
    </row>
    <row r="47" spans="1:12">
      <c r="A47" t="s">
        <v>509</v>
      </c>
      <c r="B47" t="s">
        <v>512</v>
      </c>
      <c r="C47" s="2">
        <v>5.6669998168945312</v>
      </c>
      <c r="D47" s="1"/>
      <c r="E47" t="s">
        <v>501</v>
      </c>
      <c r="F47" s="15">
        <v>26.914000000000001</v>
      </c>
      <c r="G47" s="1"/>
      <c r="H47" s="1">
        <f t="shared" si="5"/>
        <v>21.24700018310547</v>
      </c>
      <c r="I47" s="10">
        <v>21.24700018310547</v>
      </c>
      <c r="J47" s="1"/>
      <c r="K47" s="1">
        <f>(I47-J$2)</f>
        <v>-1.7802496299743638</v>
      </c>
      <c r="L47" s="5">
        <f t="shared" si="3"/>
        <v>3.4348560285484959</v>
      </c>
    </row>
    <row r="48" spans="1:12">
      <c r="A48" t="s">
        <v>509</v>
      </c>
      <c r="B48" t="s">
        <v>512</v>
      </c>
      <c r="C48" s="2">
        <v>5.0960001945495605</v>
      </c>
      <c r="D48" s="1"/>
      <c r="E48" t="s">
        <v>501</v>
      </c>
      <c r="F48" s="15">
        <v>27.341000000000001</v>
      </c>
      <c r="G48" s="1"/>
      <c r="H48" s="1">
        <f t="shared" si="5"/>
        <v>22.244999805450441</v>
      </c>
      <c r="I48" s="10">
        <v>22.244999805450441</v>
      </c>
      <c r="J48" s="1"/>
      <c r="K48" s="1">
        <f>(I48-J$2)</f>
        <v>-0.78225000762939345</v>
      </c>
      <c r="L48" s="5">
        <f t="shared" si="3"/>
        <v>1.7198109762916087</v>
      </c>
    </row>
    <row r="49" spans="1:12">
      <c r="A49" t="s">
        <v>510</v>
      </c>
      <c r="B49" t="s">
        <v>512</v>
      </c>
      <c r="C49" s="2">
        <v>5.5130000114440918</v>
      </c>
      <c r="D49" s="4">
        <f>AVERAGE(C49:C52)</f>
        <v>5.5144999027252197</v>
      </c>
      <c r="E49" t="s">
        <v>501</v>
      </c>
      <c r="F49" s="15">
        <v>27.44</v>
      </c>
      <c r="G49" s="4">
        <f>AVERAGE(F49:F52)</f>
        <v>26.97025</v>
      </c>
      <c r="H49" s="7">
        <f>(F49-C52)</f>
        <v>21.938000144958497</v>
      </c>
      <c r="I49" s="12">
        <v>21.938000144958497</v>
      </c>
      <c r="J49" s="1">
        <f>AVERAGE(I49:I52)</f>
        <v>21.458500136375427</v>
      </c>
      <c r="K49" s="1">
        <f>(I49-I45)</f>
        <v>-0.10300007247924725</v>
      </c>
      <c r="L49" s="5">
        <f t="shared" si="3"/>
        <v>1.0740045255768065</v>
      </c>
    </row>
    <row r="50" spans="1:12">
      <c r="A50" t="s">
        <v>510</v>
      </c>
      <c r="B50" t="s">
        <v>512</v>
      </c>
      <c r="C50" s="2">
        <v>5.5069999694824219</v>
      </c>
      <c r="D50" s="1"/>
      <c r="E50" t="s">
        <v>501</v>
      </c>
      <c r="F50" s="15">
        <v>27.625</v>
      </c>
      <c r="G50" s="1"/>
      <c r="H50" s="1">
        <f>(F50-C50)</f>
        <v>22.118000030517578</v>
      </c>
      <c r="I50" s="10">
        <v>22.118000030517578</v>
      </c>
      <c r="J50" s="1"/>
      <c r="K50" s="1">
        <f>(I50-I46)</f>
        <v>0.53199985885620293</v>
      </c>
      <c r="L50" s="5">
        <f t="shared" si="3"/>
        <v>0.69159538216662408</v>
      </c>
    </row>
    <row r="51" spans="1:12">
      <c r="A51" t="s">
        <v>510</v>
      </c>
      <c r="B51" t="s">
        <v>512</v>
      </c>
      <c r="C51" s="2">
        <v>5.5359997749328613</v>
      </c>
      <c r="D51" s="1"/>
      <c r="E51" t="s">
        <v>501</v>
      </c>
      <c r="F51" s="15">
        <v>27.097999999999999</v>
      </c>
      <c r="G51" s="1"/>
      <c r="H51" s="1">
        <f>(F51-C51)</f>
        <v>21.562000225067138</v>
      </c>
      <c r="I51" s="10">
        <v>21.562000225067138</v>
      </c>
      <c r="J51" s="1"/>
      <c r="K51" s="1">
        <f>(I51-I47)</f>
        <v>0.31500004196166742</v>
      </c>
      <c r="L51" s="5">
        <f t="shared" si="3"/>
        <v>0.80385096736265427</v>
      </c>
    </row>
    <row r="52" spans="1:12">
      <c r="A52" t="s">
        <v>510</v>
      </c>
      <c r="B52" t="s">
        <v>512</v>
      </c>
      <c r="C52" s="2">
        <v>5.5019998550415039</v>
      </c>
      <c r="D52" s="1"/>
      <c r="E52" t="s">
        <v>501</v>
      </c>
      <c r="F52" s="15">
        <v>25.718</v>
      </c>
      <c r="G52" s="1"/>
      <c r="H52" s="1">
        <f>(F52-C52)</f>
        <v>20.216000144958496</v>
      </c>
      <c r="I52" s="10">
        <v>20.216000144958496</v>
      </c>
      <c r="J52" s="1"/>
      <c r="K52" s="1">
        <f>(I52-I48)</f>
        <v>-2.0289996604919445</v>
      </c>
      <c r="L52" s="5">
        <f t="shared" si="3"/>
        <v>4.0812176765646333</v>
      </c>
    </row>
    <row r="53" spans="1:12">
      <c r="A53" s="4"/>
      <c r="B53" s="1"/>
      <c r="C53" s="8"/>
      <c r="D53" s="1"/>
      <c r="E53" s="1"/>
      <c r="F53" s="8"/>
      <c r="G53" s="1"/>
      <c r="H53" s="1"/>
      <c r="I53" s="6"/>
      <c r="J53" s="1"/>
      <c r="K53" s="1"/>
      <c r="L53" s="5"/>
    </row>
    <row r="54" spans="1:12">
      <c r="A54" s="4"/>
      <c r="B54" s="1"/>
      <c r="C54" s="2"/>
      <c r="D54" s="1"/>
      <c r="E54" s="1"/>
      <c r="F54" s="3"/>
      <c r="G54" s="1"/>
      <c r="H54" s="1"/>
      <c r="I54" s="6"/>
      <c r="J54" s="1"/>
      <c r="K54" s="1"/>
      <c r="L54" s="5"/>
    </row>
    <row r="55" spans="1:12">
      <c r="A55" t="s">
        <v>505</v>
      </c>
      <c r="B55" t="s">
        <v>512</v>
      </c>
      <c r="C55" s="2">
        <v>4.6750001907348633</v>
      </c>
      <c r="D55" s="4">
        <f>AVERAGE(C55:C58)</f>
        <v>4.905250072479248</v>
      </c>
      <c r="E55" s="13" t="s">
        <v>514</v>
      </c>
      <c r="F55" s="14">
        <v>22.107999801635742</v>
      </c>
      <c r="G55" s="4">
        <f>AVERAGE(F55:F58)</f>
        <v>22.178499698638916</v>
      </c>
      <c r="H55" s="1">
        <f>(F55-C55)</f>
        <v>17.432999610900879</v>
      </c>
      <c r="I55" s="6">
        <v>17.432999610900879</v>
      </c>
      <c r="J55" s="1">
        <f>AVERAGE(I55:I58)</f>
        <v>17.273249626159668</v>
      </c>
      <c r="K55" s="1">
        <f>(I55-J$2)</f>
        <v>-5.5942502021789551</v>
      </c>
      <c r="L55" s="5">
        <f t="shared" ref="L55:L78" si="6">2^(-K55)</f>
        <v>48.310008522895941</v>
      </c>
    </row>
    <row r="56" spans="1:12">
      <c r="A56" t="s">
        <v>505</v>
      </c>
      <c r="B56" t="s">
        <v>512</v>
      </c>
      <c r="C56" s="2">
        <v>4.8499999046325684</v>
      </c>
      <c r="D56" s="1"/>
      <c r="E56" s="13" t="s">
        <v>514</v>
      </c>
      <c r="F56" s="14">
        <v>22.076999664306641</v>
      </c>
      <c r="G56" s="1"/>
      <c r="H56" s="1">
        <f>(F56-C56)</f>
        <v>17.226999759674072</v>
      </c>
      <c r="I56" s="6">
        <v>17.226999759674072</v>
      </c>
      <c r="J56" s="1"/>
      <c r="K56" s="1">
        <f>(I56-J$2)</f>
        <v>-5.8002500534057617</v>
      </c>
      <c r="L56" s="5">
        <f t="shared" si="6"/>
        <v>55.724893665040312</v>
      </c>
    </row>
    <row r="57" spans="1:12">
      <c r="A57" t="s">
        <v>505</v>
      </c>
      <c r="B57" t="s">
        <v>512</v>
      </c>
      <c r="C57" s="2">
        <v>4.9939999580383301</v>
      </c>
      <c r="D57" s="1"/>
      <c r="E57" s="13" t="s">
        <v>514</v>
      </c>
      <c r="F57" s="14">
        <v>22.153999328613281</v>
      </c>
      <c r="G57" s="1"/>
      <c r="H57" s="1">
        <f>(F57-C57)</f>
        <v>17.159999370574951</v>
      </c>
      <c r="I57" s="6">
        <v>17.159999370574951</v>
      </c>
      <c r="J57" s="1"/>
      <c r="K57" s="1">
        <f>(I57-J$2)</f>
        <v>-5.8672504425048828</v>
      </c>
      <c r="L57" s="5">
        <f t="shared" si="6"/>
        <v>58.373855036523665</v>
      </c>
    </row>
    <row r="58" spans="1:12">
      <c r="A58" t="s">
        <v>505</v>
      </c>
      <c r="B58" t="s">
        <v>512</v>
      </c>
      <c r="C58" s="2">
        <v>5.1020002365112305</v>
      </c>
      <c r="D58" s="1"/>
      <c r="E58" s="13" t="s">
        <v>514</v>
      </c>
      <c r="F58" s="14">
        <v>22.375</v>
      </c>
      <c r="G58" s="1"/>
      <c r="H58" s="1">
        <f>(F58-C58)</f>
        <v>17.27299976348877</v>
      </c>
      <c r="I58" s="6">
        <v>17.27299976348877</v>
      </c>
      <c r="J58" s="1"/>
      <c r="K58" s="1">
        <f>(I58-J$2)</f>
        <v>-5.7542500495910645</v>
      </c>
      <c r="L58" s="5">
        <f t="shared" si="6"/>
        <v>53.976145453956896</v>
      </c>
    </row>
    <row r="59" spans="1:12">
      <c r="A59" t="s">
        <v>506</v>
      </c>
      <c r="B59" t="s">
        <v>512</v>
      </c>
      <c r="C59" s="2">
        <v>5.1760001182556152</v>
      </c>
      <c r="D59" s="4">
        <f>AVERAGE(C59:C62)</f>
        <v>5.2380000352859497</v>
      </c>
      <c r="E59" s="13" t="s">
        <v>514</v>
      </c>
      <c r="F59" s="14">
        <v>23.565000534057617</v>
      </c>
      <c r="G59" s="4">
        <f>AVERAGE(F59:F62)</f>
        <v>23.683000564575195</v>
      </c>
      <c r="H59" s="7">
        <f>(F59-C62)</f>
        <v>18.599000453948975</v>
      </c>
      <c r="I59" s="6">
        <v>18.599000453948975</v>
      </c>
      <c r="J59" s="1">
        <f>AVERAGE(I59:I62)</f>
        <v>18.497500538825989</v>
      </c>
      <c r="K59" s="1">
        <f>(I59-I55)</f>
        <v>1.1660008430480957</v>
      </c>
      <c r="L59" s="5">
        <f t="shared" si="6"/>
        <v>0.44565498752706062</v>
      </c>
    </row>
    <row r="60" spans="1:12">
      <c r="A60" t="s">
        <v>506</v>
      </c>
      <c r="B60" t="s">
        <v>512</v>
      </c>
      <c r="C60" s="2">
        <v>5.4860000610351562</v>
      </c>
      <c r="D60" s="1"/>
      <c r="E60" s="13" t="s">
        <v>514</v>
      </c>
      <c r="F60" s="14">
        <v>23.885000228881836</v>
      </c>
      <c r="G60" s="1"/>
      <c r="H60" s="1">
        <f t="shared" ref="H60:H66" si="7">(F60-C60)</f>
        <v>18.39900016784668</v>
      </c>
      <c r="I60" s="6">
        <v>18.39900016784668</v>
      </c>
      <c r="J60" s="1"/>
      <c r="K60" s="1">
        <f>(I60-I56)</f>
        <v>1.1720004081726074</v>
      </c>
      <c r="L60" s="5">
        <f t="shared" si="6"/>
        <v>0.44380554307162834</v>
      </c>
    </row>
    <row r="61" spans="1:12">
      <c r="A61" t="s">
        <v>506</v>
      </c>
      <c r="B61" t="s">
        <v>512</v>
      </c>
      <c r="C61" s="2">
        <v>5.3239998817443848</v>
      </c>
      <c r="D61" s="1"/>
      <c r="E61" s="13" t="s">
        <v>514</v>
      </c>
      <c r="F61" s="14">
        <v>23.87700080871582</v>
      </c>
      <c r="G61" s="1"/>
      <c r="H61" s="1">
        <f t="shared" si="7"/>
        <v>18.553000926971436</v>
      </c>
      <c r="I61" s="6">
        <v>18.553000926971436</v>
      </c>
      <c r="J61" s="1"/>
      <c r="K61" s="1">
        <f>(I61-I57)</f>
        <v>1.3930015563964844</v>
      </c>
      <c r="L61" s="5">
        <f t="shared" si="6"/>
        <v>0.38077177414449742</v>
      </c>
    </row>
    <row r="62" spans="1:12">
      <c r="A62" t="s">
        <v>506</v>
      </c>
      <c r="B62" t="s">
        <v>512</v>
      </c>
      <c r="C62" s="2">
        <v>4.9660000801086426</v>
      </c>
      <c r="D62" s="1"/>
      <c r="E62" s="13" t="s">
        <v>514</v>
      </c>
      <c r="F62" s="14">
        <v>23.405000686645508</v>
      </c>
      <c r="G62" s="1"/>
      <c r="H62" s="1">
        <f t="shared" si="7"/>
        <v>18.439000606536865</v>
      </c>
      <c r="I62" s="6">
        <v>18.439000606536865</v>
      </c>
      <c r="J62" s="1"/>
      <c r="K62" s="1">
        <f>(I62-I58)</f>
        <v>1.1660008430480957</v>
      </c>
      <c r="L62" s="5">
        <f t="shared" si="6"/>
        <v>0.44565498752706062</v>
      </c>
    </row>
    <row r="63" spans="1:12">
      <c r="A63" t="s">
        <v>507</v>
      </c>
      <c r="B63" t="s">
        <v>512</v>
      </c>
      <c r="C63" s="2">
        <v>5.6570000648498535</v>
      </c>
      <c r="D63" s="4">
        <f>AVERAGE(C63:C66)</f>
        <v>5.530500054359436</v>
      </c>
      <c r="E63" s="13" t="s">
        <v>514</v>
      </c>
      <c r="F63" s="14">
        <v>23.330999374389648</v>
      </c>
      <c r="G63" s="4">
        <f>AVERAGE(F63:F66)</f>
        <v>23.435249805450439</v>
      </c>
      <c r="H63" s="1">
        <f t="shared" si="7"/>
        <v>17.673999309539795</v>
      </c>
      <c r="I63" s="6">
        <v>17.673999309539795</v>
      </c>
      <c r="J63" s="1">
        <f>AVERAGE(I63:I66)</f>
        <v>17.904749751091003</v>
      </c>
      <c r="K63" s="1">
        <f>(I63-J$2)</f>
        <v>-5.3532505035400391</v>
      </c>
      <c r="L63" s="5">
        <f t="shared" si="6"/>
        <v>40.877937552374462</v>
      </c>
    </row>
    <row r="64" spans="1:12">
      <c r="A64" t="s">
        <v>507</v>
      </c>
      <c r="B64" t="s">
        <v>512</v>
      </c>
      <c r="C64" s="2">
        <v>5.5269999504089355</v>
      </c>
      <c r="D64" s="1"/>
      <c r="E64" s="13" t="s">
        <v>514</v>
      </c>
      <c r="F64" s="14">
        <v>23.406000137329102</v>
      </c>
      <c r="G64" s="1"/>
      <c r="H64" s="1">
        <f t="shared" si="7"/>
        <v>17.879000186920166</v>
      </c>
      <c r="I64" s="6">
        <v>17.879000186920166</v>
      </c>
      <c r="J64" s="1"/>
      <c r="K64" s="1">
        <f>(I64-J$2)</f>
        <v>-5.148249626159668</v>
      </c>
      <c r="L64" s="5">
        <f t="shared" si="6"/>
        <v>35.463170710605034</v>
      </c>
    </row>
    <row r="65" spans="1:12">
      <c r="A65" t="s">
        <v>507</v>
      </c>
      <c r="B65" t="s">
        <v>512</v>
      </c>
      <c r="C65" s="2">
        <v>5.6110000610351562</v>
      </c>
      <c r="D65" s="1"/>
      <c r="E65" s="13" t="s">
        <v>514</v>
      </c>
      <c r="F65" s="14">
        <v>23.739999771118164</v>
      </c>
      <c r="G65" s="1"/>
      <c r="H65" s="1">
        <f t="shared" si="7"/>
        <v>18.128999710083008</v>
      </c>
      <c r="I65" s="6">
        <v>18.128999710083008</v>
      </c>
      <c r="J65" s="1"/>
      <c r="K65" s="1">
        <f>(I65-J$2)</f>
        <v>-4.8982501029968262</v>
      </c>
      <c r="L65" s="5">
        <f t="shared" si="6"/>
        <v>29.820862980418553</v>
      </c>
    </row>
    <row r="66" spans="1:12">
      <c r="A66" t="s">
        <v>507</v>
      </c>
      <c r="B66" t="s">
        <v>512</v>
      </c>
      <c r="C66" s="2">
        <v>5.3270001411437988</v>
      </c>
      <c r="D66" s="1"/>
      <c r="E66" s="13" t="s">
        <v>514</v>
      </c>
      <c r="F66" s="14">
        <v>23.263999938964844</v>
      </c>
      <c r="G66" s="1"/>
      <c r="H66" s="1">
        <f t="shared" si="7"/>
        <v>17.936999797821045</v>
      </c>
      <c r="I66" s="6">
        <v>17.936999797821045</v>
      </c>
      <c r="J66" s="1"/>
      <c r="K66" s="1">
        <f>(I66-J$2)</f>
        <v>-5.0902500152587891</v>
      </c>
      <c r="L66" s="5">
        <f t="shared" si="6"/>
        <v>34.065748831744564</v>
      </c>
    </row>
    <row r="67" spans="1:12">
      <c r="A67" t="s">
        <v>511</v>
      </c>
      <c r="B67" t="s">
        <v>512</v>
      </c>
      <c r="C67" s="2">
        <v>5.7940001487731934</v>
      </c>
      <c r="D67" s="4">
        <f>AVERAGE(C67:C70)</f>
        <v>5.9465001821517944</v>
      </c>
      <c r="E67" s="13" t="s">
        <v>514</v>
      </c>
      <c r="F67" s="14">
        <v>21.836000442504883</v>
      </c>
      <c r="G67" s="4">
        <f>AVERAGE(F67:F70)</f>
        <v>22.113000392913818</v>
      </c>
      <c r="H67" s="7">
        <f>(F67-C70)</f>
        <v>15.85200023651123</v>
      </c>
      <c r="I67" s="6">
        <v>15.85200023651123</v>
      </c>
      <c r="J67" s="1">
        <f>AVERAGE(I67:I70)</f>
        <v>16.119000196456909</v>
      </c>
      <c r="K67" s="1">
        <f>(I67-I63)</f>
        <v>-1.8219990730285645</v>
      </c>
      <c r="L67" s="5">
        <f t="shared" si="6"/>
        <v>3.5357078524639429</v>
      </c>
    </row>
    <row r="68" spans="1:12">
      <c r="A68" t="s">
        <v>511</v>
      </c>
      <c r="B68" t="s">
        <v>512</v>
      </c>
      <c r="C68" s="2">
        <v>6.0300002098083496</v>
      </c>
      <c r="D68" s="1"/>
      <c r="E68" s="13" t="s">
        <v>514</v>
      </c>
      <c r="F68" s="14">
        <v>22.325000762939453</v>
      </c>
      <c r="G68" s="1"/>
      <c r="H68" s="1">
        <f t="shared" ref="H68:H74" si="8">(F68-C68)</f>
        <v>16.295000553131104</v>
      </c>
      <c r="I68" s="6">
        <v>16.295000553131104</v>
      </c>
      <c r="J68" s="1"/>
      <c r="K68" s="1">
        <f>(I68-I64)</f>
        <v>-1.5839996337890625</v>
      </c>
      <c r="L68" s="5">
        <f t="shared" si="6"/>
        <v>2.9979984425048332</v>
      </c>
    </row>
    <row r="69" spans="1:12">
      <c r="A69" t="s">
        <v>511</v>
      </c>
      <c r="B69" t="s">
        <v>512</v>
      </c>
      <c r="C69" s="2">
        <v>5.9780001640319824</v>
      </c>
      <c r="D69" s="1"/>
      <c r="E69" s="13" t="s">
        <v>514</v>
      </c>
      <c r="F69" s="14">
        <v>22.121000289916992</v>
      </c>
      <c r="G69" s="1"/>
      <c r="H69" s="1">
        <f t="shared" si="8"/>
        <v>16.14300012588501</v>
      </c>
      <c r="I69" s="6">
        <v>16.14300012588501</v>
      </c>
      <c r="J69" s="1"/>
      <c r="K69" s="1">
        <f>(I69-I65)</f>
        <v>-1.985999584197998</v>
      </c>
      <c r="L69" s="5">
        <f t="shared" si="6"/>
        <v>3.9613703460175222</v>
      </c>
    </row>
    <row r="70" spans="1:12">
      <c r="A70" t="s">
        <v>511</v>
      </c>
      <c r="B70" t="s">
        <v>512</v>
      </c>
      <c r="C70" s="2">
        <v>5.9840002059936523</v>
      </c>
      <c r="D70" s="1"/>
      <c r="E70" s="13" t="s">
        <v>514</v>
      </c>
      <c r="F70" s="14">
        <v>22.170000076293945</v>
      </c>
      <c r="G70" s="1"/>
      <c r="H70" s="1">
        <f t="shared" si="8"/>
        <v>16.185999870300293</v>
      </c>
      <c r="I70" s="6">
        <v>16.185999870300293</v>
      </c>
      <c r="J70" s="1"/>
      <c r="K70" s="1">
        <f>(I70-I66)</f>
        <v>-1.750999927520752</v>
      </c>
      <c r="L70" s="5">
        <f t="shared" si="6"/>
        <v>3.3659177600418939</v>
      </c>
    </row>
    <row r="71" spans="1:12">
      <c r="A71" t="s">
        <v>509</v>
      </c>
      <c r="B71" t="s">
        <v>512</v>
      </c>
      <c r="C71" s="2">
        <v>5.1279997825622559</v>
      </c>
      <c r="D71" s="4">
        <f>AVERAGE(C71:C74)</f>
        <v>5.3614999055862427</v>
      </c>
      <c r="E71" s="13" t="s">
        <v>514</v>
      </c>
      <c r="F71" s="14">
        <v>23.305000305175781</v>
      </c>
      <c r="G71" s="4">
        <f>AVERAGE(F71:F74)</f>
        <v>23.299749851226807</v>
      </c>
      <c r="H71" s="1">
        <f t="shared" si="8"/>
        <v>18.177000522613525</v>
      </c>
      <c r="I71" s="6">
        <v>18.177000522613525</v>
      </c>
      <c r="J71" s="1">
        <f>AVERAGE(I71:I74)</f>
        <v>17.938249945640564</v>
      </c>
      <c r="K71" s="1">
        <f>(I71-J$2)</f>
        <v>-4.8502492904663086</v>
      </c>
      <c r="L71" s="5">
        <f t="shared" si="6"/>
        <v>28.844998644018052</v>
      </c>
    </row>
    <row r="72" spans="1:12">
      <c r="A72" t="s">
        <v>509</v>
      </c>
      <c r="B72" t="s">
        <v>512</v>
      </c>
      <c r="C72" s="2">
        <v>5.554999828338623</v>
      </c>
      <c r="D72" s="1"/>
      <c r="E72" s="13" t="s">
        <v>514</v>
      </c>
      <c r="F72" s="14">
        <v>23.222999572753906</v>
      </c>
      <c r="G72" s="1"/>
      <c r="H72" s="1">
        <f t="shared" si="8"/>
        <v>17.667999744415283</v>
      </c>
      <c r="I72" s="6">
        <v>17.667999744415283</v>
      </c>
      <c r="J72" s="1"/>
      <c r="K72" s="1">
        <f>(I72-J$2)</f>
        <v>-5.3592500686645508</v>
      </c>
      <c r="L72" s="5">
        <f t="shared" si="6"/>
        <v>41.048285751345787</v>
      </c>
    </row>
    <row r="73" spans="1:12">
      <c r="A73" t="s">
        <v>509</v>
      </c>
      <c r="B73" t="s">
        <v>512</v>
      </c>
      <c r="C73" s="2">
        <v>5.6669998168945312</v>
      </c>
      <c r="D73" s="1"/>
      <c r="E73" s="13" t="s">
        <v>514</v>
      </c>
      <c r="F73" s="14">
        <v>23.264999389648438</v>
      </c>
      <c r="G73" s="1"/>
      <c r="H73" s="1">
        <f t="shared" si="8"/>
        <v>17.597999572753906</v>
      </c>
      <c r="I73" s="6">
        <v>17.597999572753906</v>
      </c>
      <c r="J73" s="1"/>
      <c r="K73" s="1">
        <f>(I73-J$2)</f>
        <v>-5.4292502403259277</v>
      </c>
      <c r="L73" s="5">
        <f t="shared" si="6"/>
        <v>43.089075514336969</v>
      </c>
    </row>
    <row r="74" spans="1:12">
      <c r="A74" t="s">
        <v>509</v>
      </c>
      <c r="B74" t="s">
        <v>512</v>
      </c>
      <c r="C74" s="2">
        <v>5.0960001945495605</v>
      </c>
      <c r="D74" s="1"/>
      <c r="E74" s="13" t="s">
        <v>514</v>
      </c>
      <c r="F74" s="14">
        <v>23.406000137329102</v>
      </c>
      <c r="G74" s="1"/>
      <c r="H74" s="1">
        <f t="shared" si="8"/>
        <v>18.309999942779541</v>
      </c>
      <c r="I74" s="6">
        <v>18.309999942779541</v>
      </c>
      <c r="J74" s="1"/>
      <c r="K74" s="1">
        <f>(I74-J$2)</f>
        <v>-4.717249870300293</v>
      </c>
      <c r="L74" s="5">
        <f t="shared" si="6"/>
        <v>26.304721494988982</v>
      </c>
    </row>
    <row r="75" spans="1:12">
      <c r="A75" t="s">
        <v>510</v>
      </c>
      <c r="B75" t="s">
        <v>512</v>
      </c>
      <c r="C75" s="2">
        <v>5.5130000114440918</v>
      </c>
      <c r="D75" s="4">
        <f>AVERAGE(C75:C78)</f>
        <v>5.5144999027252197</v>
      </c>
      <c r="E75" s="13" t="s">
        <v>514</v>
      </c>
      <c r="F75" s="14">
        <v>24.285999298095703</v>
      </c>
      <c r="G75" s="4">
        <f>AVERAGE(F75:F78)</f>
        <v>24.294749736785889</v>
      </c>
      <c r="H75" s="7">
        <f>(F75-C78)</f>
        <v>18.783999443054199</v>
      </c>
      <c r="I75" s="6">
        <v>18.783999443054199</v>
      </c>
      <c r="J75" s="1">
        <f>AVERAGE(I75:I78)</f>
        <v>18.782999873161316</v>
      </c>
      <c r="K75" s="1">
        <f>(I75-I71)</f>
        <v>0.60699892044067383</v>
      </c>
      <c r="L75" s="5">
        <f t="shared" si="6"/>
        <v>0.65656105401226339</v>
      </c>
    </row>
    <row r="76" spans="1:12">
      <c r="A76" t="s">
        <v>510</v>
      </c>
      <c r="B76" t="s">
        <v>512</v>
      </c>
      <c r="C76" s="2">
        <v>5.5069999694824219</v>
      </c>
      <c r="D76" s="1"/>
      <c r="E76" s="13" t="s">
        <v>514</v>
      </c>
      <c r="F76" s="14">
        <v>24.222000122070312</v>
      </c>
      <c r="G76" s="1"/>
      <c r="H76" s="1">
        <f>(F76-C76)</f>
        <v>18.715000152587891</v>
      </c>
      <c r="I76" s="6">
        <v>18.715000152587891</v>
      </c>
      <c r="J76" s="1"/>
      <c r="K76" s="1">
        <f>(I76-I72)</f>
        <v>1.0470004081726074</v>
      </c>
      <c r="L76" s="5">
        <f t="shared" si="6"/>
        <v>0.48397337651931482</v>
      </c>
    </row>
    <row r="77" spans="1:12">
      <c r="A77" t="s">
        <v>510</v>
      </c>
      <c r="B77" t="s">
        <v>512</v>
      </c>
      <c r="C77" s="2">
        <v>5.5359997749328613</v>
      </c>
      <c r="D77" s="1"/>
      <c r="E77" s="13" t="s">
        <v>514</v>
      </c>
      <c r="F77" s="14">
        <v>24.357000350952148</v>
      </c>
      <c r="G77" s="1"/>
      <c r="H77" s="1">
        <f>(F77-C77)</f>
        <v>18.821000576019287</v>
      </c>
      <c r="I77" s="6">
        <v>18.821000576019287</v>
      </c>
      <c r="J77" s="1"/>
      <c r="K77" s="1">
        <f>(I77-I73)</f>
        <v>1.2230010032653809</v>
      </c>
      <c r="L77" s="5">
        <f t="shared" si="6"/>
        <v>0.42839067947677467</v>
      </c>
    </row>
    <row r="78" spans="1:12">
      <c r="A78" t="s">
        <v>510</v>
      </c>
      <c r="B78" t="s">
        <v>512</v>
      </c>
      <c r="C78" s="2">
        <v>5.5019998550415039</v>
      </c>
      <c r="D78" s="1"/>
      <c r="E78" s="13" t="s">
        <v>514</v>
      </c>
      <c r="F78" s="14">
        <v>24.313999176025391</v>
      </c>
      <c r="G78" s="1"/>
      <c r="H78" s="1">
        <f>(F78-C78)</f>
        <v>18.811999320983887</v>
      </c>
      <c r="I78" s="6">
        <v>18.811999320983887</v>
      </c>
      <c r="J78" s="1"/>
      <c r="K78" s="1">
        <f>(I78-I74)</f>
        <v>0.5019993782043457</v>
      </c>
      <c r="L78" s="5">
        <f t="shared" si="6"/>
        <v>0.70612750653037537</v>
      </c>
    </row>
    <row r="79" spans="1:12">
      <c r="A79" s="4"/>
      <c r="B79" s="1"/>
      <c r="C79" s="8"/>
      <c r="D79" s="1"/>
      <c r="E79" s="1"/>
      <c r="F79" s="8"/>
      <c r="G79" s="1"/>
      <c r="H79" s="1"/>
      <c r="I79" s="6"/>
      <c r="J79" s="1"/>
      <c r="K79" s="1"/>
      <c r="L79" s="5"/>
    </row>
    <row r="80" spans="1:1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5"/>
    </row>
    <row r="81" spans="1:12">
      <c r="A81" t="s">
        <v>505</v>
      </c>
      <c r="B81" t="s">
        <v>512</v>
      </c>
      <c r="C81" s="2">
        <v>4.6750001907348633</v>
      </c>
      <c r="D81" s="4">
        <f>AVERAGE(C81:C84)</f>
        <v>4.905250072479248</v>
      </c>
      <c r="E81" s="13" t="s">
        <v>513</v>
      </c>
      <c r="F81" s="14">
        <v>17.679000854492188</v>
      </c>
      <c r="G81" s="4">
        <f>AVERAGE(F81:F84)</f>
        <v>17.630249977111816</v>
      </c>
      <c r="H81" s="1">
        <f>(F81-C81)</f>
        <v>13.004000663757324</v>
      </c>
      <c r="I81" s="6">
        <v>13.004000663757324</v>
      </c>
      <c r="J81" s="1">
        <f>AVERAGE(I81:I84)</f>
        <v>12.724999904632568</v>
      </c>
      <c r="K81" s="1">
        <f>(I81-J$2)</f>
        <v>-10.02324914932251</v>
      </c>
      <c r="L81" s="5">
        <f t="shared" ref="L81:L104" si="9">2^(-K81)</f>
        <v>1040.6355256982583</v>
      </c>
    </row>
    <row r="82" spans="1:12">
      <c r="A82" t="s">
        <v>505</v>
      </c>
      <c r="B82" t="s">
        <v>512</v>
      </c>
      <c r="C82" s="2">
        <v>4.8499999046325684</v>
      </c>
      <c r="D82" s="1"/>
      <c r="E82" t="s">
        <v>503</v>
      </c>
      <c r="F82" s="14">
        <v>17.531999588012695</v>
      </c>
      <c r="G82" s="1"/>
      <c r="H82" s="1">
        <f>(F82-C82)</f>
        <v>12.681999683380127</v>
      </c>
      <c r="I82" s="6">
        <v>12.681999683380127</v>
      </c>
      <c r="J82" s="1"/>
      <c r="K82" s="1">
        <f>(I82-J$2)</f>
        <v>-10.345250129699707</v>
      </c>
      <c r="L82" s="5">
        <f t="shared" si="9"/>
        <v>1300.8601253999257</v>
      </c>
    </row>
    <row r="83" spans="1:12">
      <c r="A83" t="s">
        <v>505</v>
      </c>
      <c r="B83" t="s">
        <v>512</v>
      </c>
      <c r="C83" s="2">
        <v>4.9939999580383301</v>
      </c>
      <c r="D83" s="1"/>
      <c r="E83" t="s">
        <v>503</v>
      </c>
      <c r="F83" s="14">
        <v>17.784999847412109</v>
      </c>
      <c r="G83" s="1"/>
      <c r="H83" s="1">
        <f>(F83-C83)</f>
        <v>12.790999889373779</v>
      </c>
      <c r="I83" s="6">
        <v>12.790999889373779</v>
      </c>
      <c r="J83" s="1"/>
      <c r="K83" s="1">
        <f>(I83-J$2)</f>
        <v>-10.236249923706055</v>
      </c>
      <c r="L83" s="5">
        <f t="shared" si="9"/>
        <v>1206.19707268512</v>
      </c>
    </row>
    <row r="84" spans="1:12">
      <c r="A84" t="s">
        <v>505</v>
      </c>
      <c r="B84" t="s">
        <v>512</v>
      </c>
      <c r="C84" s="2">
        <v>5.1020002365112305</v>
      </c>
      <c r="D84" s="1"/>
      <c r="E84" t="s">
        <v>503</v>
      </c>
      <c r="F84" s="14">
        <v>17.524999618530273</v>
      </c>
      <c r="G84" s="1"/>
      <c r="H84" s="1">
        <f>(F84-C84)</f>
        <v>12.422999382019043</v>
      </c>
      <c r="I84" s="6">
        <v>12.422999382019043</v>
      </c>
      <c r="J84" s="1"/>
      <c r="K84" s="1">
        <f>(I84-J$2)</f>
        <v>-10.604250431060791</v>
      </c>
      <c r="L84" s="5">
        <f t="shared" si="9"/>
        <v>1556.6732455376803</v>
      </c>
    </row>
    <row r="85" spans="1:12">
      <c r="A85" t="s">
        <v>506</v>
      </c>
      <c r="B85" t="s">
        <v>512</v>
      </c>
      <c r="C85" s="2">
        <v>5.1760001182556152</v>
      </c>
      <c r="D85" s="4">
        <f>AVERAGE(C85:C88)</f>
        <v>5.2380000352859497</v>
      </c>
      <c r="E85" t="s">
        <v>503</v>
      </c>
      <c r="F85" s="14">
        <v>18.136999130249023</v>
      </c>
      <c r="G85" s="4">
        <f>AVERAGE(F85:F88)</f>
        <v>17.810999393463135</v>
      </c>
      <c r="H85" s="7">
        <f>(F85-C88)</f>
        <v>13.170999050140381</v>
      </c>
      <c r="I85" s="6">
        <v>13.170999050140381</v>
      </c>
      <c r="J85" s="1">
        <f>AVERAGE(I85:I88)</f>
        <v>12.625499367713928</v>
      </c>
      <c r="K85" s="1">
        <f>(I85-I81)</f>
        <v>0.16699838638305664</v>
      </c>
      <c r="L85" s="5">
        <f t="shared" si="9"/>
        <v>0.89069389682412037</v>
      </c>
    </row>
    <row r="86" spans="1:12">
      <c r="A86" t="s">
        <v>506</v>
      </c>
      <c r="B86" t="s">
        <v>512</v>
      </c>
      <c r="C86" s="2">
        <v>5.4860000610351562</v>
      </c>
      <c r="D86" s="1"/>
      <c r="E86" t="s">
        <v>503</v>
      </c>
      <c r="F86" s="14">
        <v>17.854999542236328</v>
      </c>
      <c r="G86" s="1"/>
      <c r="H86" s="1">
        <f t="shared" ref="H86:H92" si="10">(F86-C86)</f>
        <v>12.368999481201172</v>
      </c>
      <c r="I86" s="6">
        <v>12.368999481201172</v>
      </c>
      <c r="J86" s="1"/>
      <c r="K86" s="1">
        <f>(I86-I82)</f>
        <v>-0.31300020217895508</v>
      </c>
      <c r="L86" s="5">
        <f t="shared" si="9"/>
        <v>1.242288455878449</v>
      </c>
    </row>
    <row r="87" spans="1:12">
      <c r="A87" t="s">
        <v>506</v>
      </c>
      <c r="B87" t="s">
        <v>512</v>
      </c>
      <c r="C87" s="2">
        <v>5.3239998817443848</v>
      </c>
      <c r="D87" s="1"/>
      <c r="E87" t="s">
        <v>503</v>
      </c>
      <c r="F87" s="14">
        <v>17.695999145507812</v>
      </c>
      <c r="G87" s="1"/>
      <c r="H87" s="1">
        <f t="shared" si="10"/>
        <v>12.371999263763428</v>
      </c>
      <c r="I87" s="6">
        <v>12.371999263763428</v>
      </c>
      <c r="J87" s="1"/>
      <c r="K87" s="1">
        <f>(I87-I83)</f>
        <v>-0.41900062561035156</v>
      </c>
      <c r="L87" s="5">
        <f t="shared" si="9"/>
        <v>1.3370010751822232</v>
      </c>
    </row>
    <row r="88" spans="1:12">
      <c r="A88" t="s">
        <v>506</v>
      </c>
      <c r="B88" t="s">
        <v>512</v>
      </c>
      <c r="C88" s="2">
        <v>4.9660000801086426</v>
      </c>
      <c r="D88" s="1"/>
      <c r="E88" t="s">
        <v>503</v>
      </c>
      <c r="F88" s="14">
        <v>17.555999755859375</v>
      </c>
      <c r="G88" s="1"/>
      <c r="H88" s="1">
        <f t="shared" si="10"/>
        <v>12.589999675750732</v>
      </c>
      <c r="I88" s="6">
        <v>12.589999675750732</v>
      </c>
      <c r="J88" s="1"/>
      <c r="K88" s="1">
        <f>(I88-I84)</f>
        <v>0.16700029373168945</v>
      </c>
      <c r="L88" s="5">
        <f t="shared" si="9"/>
        <v>0.89069271926225513</v>
      </c>
    </row>
    <row r="89" spans="1:12">
      <c r="A89" t="s">
        <v>507</v>
      </c>
      <c r="B89" t="s">
        <v>512</v>
      </c>
      <c r="C89" s="2">
        <v>5.6570000648498535</v>
      </c>
      <c r="D89" s="4">
        <f>AVERAGE(C89:C92)</f>
        <v>5.530500054359436</v>
      </c>
      <c r="E89" t="s">
        <v>503</v>
      </c>
      <c r="F89" s="14">
        <v>18.191999435424805</v>
      </c>
      <c r="G89" s="4">
        <f>AVERAGE(F89:F92)</f>
        <v>18.185999870300293</v>
      </c>
      <c r="H89" s="1">
        <f t="shared" si="10"/>
        <v>12.534999370574951</v>
      </c>
      <c r="I89" s="6">
        <v>12.534999370574951</v>
      </c>
      <c r="J89" s="1">
        <f>AVERAGE(I89:I92)</f>
        <v>12.655499815940857</v>
      </c>
      <c r="K89" s="1">
        <f>(I89-J$2)</f>
        <v>-10.492250442504883</v>
      </c>
      <c r="L89" s="5">
        <f t="shared" si="9"/>
        <v>1440.3966585299299</v>
      </c>
    </row>
    <row r="90" spans="1:12">
      <c r="A90" t="s">
        <v>507</v>
      </c>
      <c r="B90" t="s">
        <v>512</v>
      </c>
      <c r="C90" s="2">
        <v>5.5269999504089355</v>
      </c>
      <c r="D90" s="1"/>
      <c r="E90" t="s">
        <v>503</v>
      </c>
      <c r="F90" s="14">
        <v>18.514999389648438</v>
      </c>
      <c r="G90" s="1"/>
      <c r="H90" s="1">
        <f t="shared" si="10"/>
        <v>12.987999439239502</v>
      </c>
      <c r="I90" s="6">
        <v>12.987999439239502</v>
      </c>
      <c r="J90" s="1"/>
      <c r="K90" s="1">
        <f>(I90-J$2)</f>
        <v>-10.039250373840332</v>
      </c>
      <c r="L90" s="5">
        <f t="shared" si="9"/>
        <v>1052.2416703295003</v>
      </c>
    </row>
    <row r="91" spans="1:12">
      <c r="A91" t="s">
        <v>507</v>
      </c>
      <c r="B91" t="s">
        <v>512</v>
      </c>
      <c r="C91" s="2">
        <v>5.6110000610351562</v>
      </c>
      <c r="D91" s="1"/>
      <c r="E91" t="s">
        <v>503</v>
      </c>
      <c r="F91" s="14">
        <v>18.034000396728516</v>
      </c>
      <c r="G91" s="1"/>
      <c r="H91" s="1">
        <f t="shared" si="10"/>
        <v>12.423000335693359</v>
      </c>
      <c r="I91" s="6">
        <v>12.423000335693359</v>
      </c>
      <c r="J91" s="1"/>
      <c r="K91" s="1">
        <f>(I91-J$2)</f>
        <v>-10.604249477386475</v>
      </c>
      <c r="L91" s="5">
        <f t="shared" si="9"/>
        <v>1556.6722165199319</v>
      </c>
    </row>
    <row r="92" spans="1:12">
      <c r="A92" t="s">
        <v>507</v>
      </c>
      <c r="B92" t="s">
        <v>512</v>
      </c>
      <c r="C92" s="2">
        <v>5.3270001411437988</v>
      </c>
      <c r="D92" s="1"/>
      <c r="E92" t="s">
        <v>503</v>
      </c>
      <c r="F92" s="14">
        <v>18.003000259399414</v>
      </c>
      <c r="G92" s="1"/>
      <c r="H92" s="1">
        <f t="shared" si="10"/>
        <v>12.676000118255615</v>
      </c>
      <c r="I92" s="6">
        <v>12.676000118255615</v>
      </c>
      <c r="J92" s="1"/>
      <c r="K92" s="1">
        <f>(I92-J$2)</f>
        <v>-10.351249694824219</v>
      </c>
      <c r="L92" s="5">
        <f t="shared" si="9"/>
        <v>1306.2811224644563</v>
      </c>
    </row>
    <row r="93" spans="1:12">
      <c r="A93" t="s">
        <v>511</v>
      </c>
      <c r="B93" t="s">
        <v>512</v>
      </c>
      <c r="C93" s="2">
        <v>5.7940001487731934</v>
      </c>
      <c r="D93" s="4">
        <f>AVERAGE(C93:C96)</f>
        <v>5.9465001821517944</v>
      </c>
      <c r="E93" t="s">
        <v>503</v>
      </c>
      <c r="F93" s="14">
        <v>19.729000091552734</v>
      </c>
      <c r="G93" s="4">
        <f>AVERAGE(F93:F96)</f>
        <v>19.868749618530273</v>
      </c>
      <c r="H93" s="7">
        <f>(F93-C96)</f>
        <v>13.744999885559082</v>
      </c>
      <c r="I93" s="6">
        <v>13.744999885559082</v>
      </c>
      <c r="J93" s="1">
        <f>AVERAGE(I93:I96)</f>
        <v>13.874749422073364</v>
      </c>
      <c r="K93" s="1">
        <f>(I93-I89)</f>
        <v>1.2100005149841309</v>
      </c>
      <c r="L93" s="5">
        <f t="shared" si="9"/>
        <v>0.43226846135144231</v>
      </c>
    </row>
    <row r="94" spans="1:12">
      <c r="A94" t="s">
        <v>511</v>
      </c>
      <c r="B94" t="s">
        <v>512</v>
      </c>
      <c r="C94" s="2">
        <v>6.0300002098083496</v>
      </c>
      <c r="D94" s="1"/>
      <c r="E94" t="s">
        <v>503</v>
      </c>
      <c r="F94" s="14">
        <v>20.084999084472656</v>
      </c>
      <c r="G94" s="1"/>
      <c r="H94" s="1">
        <f t="shared" ref="H94:H100" si="11">(F94-C94)</f>
        <v>14.054998874664307</v>
      </c>
      <c r="I94" s="6">
        <v>14.054998874664307</v>
      </c>
      <c r="J94" s="1"/>
      <c r="K94" s="1">
        <f>(I94-I90)</f>
        <v>1.0669994354248047</v>
      </c>
      <c r="L94" s="5">
        <f t="shared" si="9"/>
        <v>0.47731069385758407</v>
      </c>
    </row>
    <row r="95" spans="1:12">
      <c r="A95" t="s">
        <v>511</v>
      </c>
      <c r="B95" t="s">
        <v>512</v>
      </c>
      <c r="C95" s="2">
        <v>5.9780001640319824</v>
      </c>
      <c r="D95" s="1"/>
      <c r="E95" t="s">
        <v>503</v>
      </c>
      <c r="F95" s="14">
        <v>20.396999359130859</v>
      </c>
      <c r="G95" s="1"/>
      <c r="H95" s="1">
        <f t="shared" si="11"/>
        <v>14.418999195098877</v>
      </c>
      <c r="I95" s="6">
        <v>14.418999195098877</v>
      </c>
      <c r="J95" s="1"/>
      <c r="K95" s="1">
        <f>(I95-I91)</f>
        <v>1.9959988594055176</v>
      </c>
      <c r="L95" s="5">
        <f t="shared" si="9"/>
        <v>0.25069430717407265</v>
      </c>
    </row>
    <row r="96" spans="1:12">
      <c r="A96" t="s">
        <v>511</v>
      </c>
      <c r="B96" t="s">
        <v>512</v>
      </c>
      <c r="C96" s="2">
        <v>5.9840002059936523</v>
      </c>
      <c r="D96" s="1"/>
      <c r="E96" t="s">
        <v>503</v>
      </c>
      <c r="F96" s="14">
        <v>19.263999938964844</v>
      </c>
      <c r="G96" s="1"/>
      <c r="H96" s="1">
        <f t="shared" si="11"/>
        <v>13.279999732971191</v>
      </c>
      <c r="I96" s="6">
        <v>13.279999732971191</v>
      </c>
      <c r="J96" s="1"/>
      <c r="K96" s="1">
        <f>(I96-I92)</f>
        <v>0.60399961471557617</v>
      </c>
      <c r="L96" s="5">
        <f t="shared" si="9"/>
        <v>0.65792743821980071</v>
      </c>
    </row>
    <row r="97" spans="1:12">
      <c r="A97" t="s">
        <v>509</v>
      </c>
      <c r="B97" t="s">
        <v>512</v>
      </c>
      <c r="C97" s="2">
        <v>5.1279997825622559</v>
      </c>
      <c r="D97" s="4">
        <f>AVERAGE(C97:C100)</f>
        <v>5.3614999055862427</v>
      </c>
      <c r="E97" t="s">
        <v>503</v>
      </c>
      <c r="F97" s="14">
        <v>17.48699951171875</v>
      </c>
      <c r="G97" s="4">
        <f>AVERAGE(F97:F100)</f>
        <v>17.579749584197998</v>
      </c>
      <c r="H97" s="1">
        <f t="shared" si="11"/>
        <v>12.358999729156494</v>
      </c>
      <c r="I97" s="6">
        <v>12.358999729156494</v>
      </c>
      <c r="J97" s="1">
        <f>AVERAGE(I97:I100)</f>
        <v>12.218249678611755</v>
      </c>
      <c r="K97" s="1">
        <f>(I97-J$2)</f>
        <v>-10.66825008392334</v>
      </c>
      <c r="L97" s="5">
        <f t="shared" si="9"/>
        <v>1627.2837083892355</v>
      </c>
    </row>
    <row r="98" spans="1:12">
      <c r="A98" t="s">
        <v>509</v>
      </c>
      <c r="B98" t="s">
        <v>512</v>
      </c>
      <c r="C98" s="2">
        <v>5.554999828338623</v>
      </c>
      <c r="D98" s="1"/>
      <c r="E98" t="s">
        <v>503</v>
      </c>
      <c r="F98" s="14">
        <v>17.836999893188477</v>
      </c>
      <c r="G98" s="1"/>
      <c r="H98" s="1">
        <f t="shared" si="11"/>
        <v>12.282000064849854</v>
      </c>
      <c r="I98" s="6">
        <v>12.282000064849854</v>
      </c>
      <c r="J98" s="1"/>
      <c r="K98" s="1">
        <f>(I98-J$2)</f>
        <v>-10.74524974822998</v>
      </c>
      <c r="L98" s="5">
        <f t="shared" si="9"/>
        <v>1716.4947724077704</v>
      </c>
    </row>
    <row r="99" spans="1:12">
      <c r="A99" t="s">
        <v>509</v>
      </c>
      <c r="B99" t="s">
        <v>512</v>
      </c>
      <c r="C99" s="2">
        <v>5.6669998168945312</v>
      </c>
      <c r="D99" s="1"/>
      <c r="E99" t="s">
        <v>503</v>
      </c>
      <c r="F99" s="14">
        <v>17.430999755859375</v>
      </c>
      <c r="G99" s="1"/>
      <c r="H99" s="1">
        <f t="shared" si="11"/>
        <v>11.763999938964844</v>
      </c>
      <c r="I99" s="6">
        <v>11.763999938964844</v>
      </c>
      <c r="J99" s="1"/>
      <c r="K99" s="1">
        <f>(I99-J$2)</f>
        <v>-11.26324987411499</v>
      </c>
      <c r="L99" s="5">
        <f t="shared" si="9"/>
        <v>2457.9670729975264</v>
      </c>
    </row>
    <row r="100" spans="1:12">
      <c r="A100" t="s">
        <v>509</v>
      </c>
      <c r="B100" t="s">
        <v>512</v>
      </c>
      <c r="C100" s="2">
        <v>5.0960001945495605</v>
      </c>
      <c r="D100" s="1"/>
      <c r="E100" t="s">
        <v>503</v>
      </c>
      <c r="F100" s="14">
        <v>17.563999176025391</v>
      </c>
      <c r="G100" s="1"/>
      <c r="H100" s="1">
        <f t="shared" si="11"/>
        <v>12.46799898147583</v>
      </c>
      <c r="I100" s="6">
        <v>12.46799898147583</v>
      </c>
      <c r="J100" s="1"/>
      <c r="K100" s="1">
        <f>(I100-J$2)</f>
        <v>-10.559250831604004</v>
      </c>
      <c r="L100" s="5">
        <f t="shared" si="9"/>
        <v>1508.8679441100262</v>
      </c>
    </row>
    <row r="101" spans="1:12">
      <c r="A101" t="s">
        <v>510</v>
      </c>
      <c r="B101" t="s">
        <v>512</v>
      </c>
      <c r="C101" s="2">
        <v>5.5130000114440918</v>
      </c>
      <c r="D101" s="4">
        <f>AVERAGE(C101:C104)</f>
        <v>5.5144999027252197</v>
      </c>
      <c r="E101" t="s">
        <v>503</v>
      </c>
      <c r="F101" s="14">
        <v>18.231000900268555</v>
      </c>
      <c r="G101" s="4">
        <f>AVERAGE(F101:F104)</f>
        <v>18.227500438690186</v>
      </c>
      <c r="H101" s="7">
        <f>(F101-C104)</f>
        <v>12.729001045227051</v>
      </c>
      <c r="I101" s="6">
        <v>12.729001045227051</v>
      </c>
      <c r="J101" s="1">
        <f>AVERAGE(I101:I104)</f>
        <v>12.715750575065613</v>
      </c>
      <c r="K101" s="1">
        <f>(I101-I97)</f>
        <v>0.37000131607055664</v>
      </c>
      <c r="L101" s="5">
        <f t="shared" si="9"/>
        <v>0.7737817909034489</v>
      </c>
    </row>
    <row r="102" spans="1:12">
      <c r="A102" t="s">
        <v>510</v>
      </c>
      <c r="B102" t="s">
        <v>512</v>
      </c>
      <c r="C102" s="2">
        <v>5.5069999694824219</v>
      </c>
      <c r="D102" s="1"/>
      <c r="E102" t="s">
        <v>503</v>
      </c>
      <c r="F102" s="14">
        <v>18.277000427246094</v>
      </c>
      <c r="G102" s="1"/>
      <c r="H102" s="1">
        <f>(F102-C102)</f>
        <v>12.770000457763672</v>
      </c>
      <c r="I102" s="6">
        <v>12.770000457763672</v>
      </c>
      <c r="J102" s="1"/>
      <c r="K102" s="1">
        <f>(I102-I98)</f>
        <v>0.48800039291381836</v>
      </c>
      <c r="L102" s="5">
        <f t="shared" si="9"/>
        <v>0.71301266449510869</v>
      </c>
    </row>
    <row r="103" spans="1:12">
      <c r="A103" t="s">
        <v>510</v>
      </c>
      <c r="B103" t="s">
        <v>512</v>
      </c>
      <c r="C103" s="2">
        <v>5.5359997749328613</v>
      </c>
      <c r="D103" s="1"/>
      <c r="E103" t="s">
        <v>503</v>
      </c>
      <c r="F103" s="14">
        <v>18.290000915527344</v>
      </c>
      <c r="G103" s="1"/>
      <c r="H103" s="1">
        <f>(F103-C103)</f>
        <v>12.754001140594482</v>
      </c>
      <c r="I103" s="6">
        <v>12.754001140594482</v>
      </c>
      <c r="J103" s="1"/>
      <c r="K103" s="1">
        <f>(I103-I99)</f>
        <v>0.99000120162963867</v>
      </c>
      <c r="L103" s="5">
        <f t="shared" si="9"/>
        <v>0.50347735567877561</v>
      </c>
    </row>
    <row r="104" spans="1:12">
      <c r="A104" t="s">
        <v>510</v>
      </c>
      <c r="B104" t="s">
        <v>512</v>
      </c>
      <c r="C104" s="2">
        <v>5.5019998550415039</v>
      </c>
      <c r="D104" s="1"/>
      <c r="E104" t="s">
        <v>503</v>
      </c>
      <c r="F104" s="14">
        <v>18.11199951171875</v>
      </c>
      <c r="G104" s="1"/>
      <c r="H104" s="1">
        <f>(F104-C104)</f>
        <v>12.609999656677246</v>
      </c>
      <c r="I104" s="6">
        <v>12.609999656677246</v>
      </c>
      <c r="J104" s="1"/>
      <c r="K104" s="1">
        <f>(I104-I100)</f>
        <v>0.14200067520141602</v>
      </c>
      <c r="L104" s="5">
        <f t="shared" si="9"/>
        <v>0.9062615141241972</v>
      </c>
    </row>
    <row r="105" spans="1:12">
      <c r="A105" s="4"/>
      <c r="B105" s="1"/>
      <c r="C105" s="2"/>
      <c r="D105" s="1"/>
      <c r="E105" s="1"/>
      <c r="F105" s="8"/>
      <c r="G105" s="1"/>
      <c r="H105" s="1"/>
      <c r="I105" s="6"/>
      <c r="J105" s="1"/>
      <c r="K105" s="1"/>
      <c r="L105" s="5"/>
    </row>
    <row r="106" spans="1:12">
      <c r="A106" s="1"/>
      <c r="B106" s="1"/>
      <c r="C106" s="3"/>
      <c r="D106" s="1"/>
      <c r="E106" s="1"/>
      <c r="F106" s="3"/>
      <c r="G106" s="1"/>
      <c r="H106" s="1"/>
      <c r="I106" s="6"/>
      <c r="J106" s="1"/>
      <c r="K106" s="1"/>
      <c r="L106" s="5"/>
    </row>
    <row r="107" spans="1:12">
      <c r="A107" t="s">
        <v>505</v>
      </c>
      <c r="B107" t="s">
        <v>512</v>
      </c>
      <c r="C107" s="2">
        <v>4.6750001907348633</v>
      </c>
      <c r="D107" s="4">
        <f>AVERAGE(C107:C110)</f>
        <v>4.905250072479248</v>
      </c>
      <c r="E107" t="s">
        <v>515</v>
      </c>
      <c r="F107" s="14">
        <v>14.609000205993652</v>
      </c>
      <c r="G107" s="4">
        <f>AVERAGE(F107:F110)</f>
        <v>14.507500171661377</v>
      </c>
      <c r="H107" s="1">
        <f>(F107-C107)</f>
        <v>9.9340000152587891</v>
      </c>
      <c r="I107" s="10">
        <v>9.9340000152587891</v>
      </c>
      <c r="J107" s="1">
        <f>AVERAGE(I107:I110)</f>
        <v>9.6022500991821289</v>
      </c>
      <c r="K107" s="1">
        <f>(I107-J$2)</f>
        <v>-13.093249797821045</v>
      </c>
      <c r="L107" s="5">
        <f t="shared" ref="L107:L130" si="12">2^(-K107)</f>
        <v>8738.9837113859667</v>
      </c>
    </row>
    <row r="108" spans="1:12">
      <c r="A108" t="s">
        <v>505</v>
      </c>
      <c r="B108" t="s">
        <v>512</v>
      </c>
      <c r="C108" s="2">
        <v>4.8499999046325684</v>
      </c>
      <c r="D108" s="1"/>
      <c r="E108" t="s">
        <v>515</v>
      </c>
      <c r="F108" s="14">
        <v>14.576000213623047</v>
      </c>
      <c r="G108" s="1"/>
      <c r="H108" s="1">
        <f>(F108-C108)</f>
        <v>9.7260003089904785</v>
      </c>
      <c r="I108" s="10">
        <v>9.7260003089904785</v>
      </c>
      <c r="J108" s="1"/>
      <c r="K108" s="1">
        <f>(I108-J$2)</f>
        <v>-13.301249504089355</v>
      </c>
      <c r="L108" s="5">
        <f t="shared" si="12"/>
        <v>10094.273801280047</v>
      </c>
    </row>
    <row r="109" spans="1:12">
      <c r="A109" t="s">
        <v>505</v>
      </c>
      <c r="B109" t="s">
        <v>512</v>
      </c>
      <c r="C109" s="2">
        <v>4.9939999580383301</v>
      </c>
      <c r="D109" s="1"/>
      <c r="E109" t="s">
        <v>515</v>
      </c>
      <c r="F109" s="14">
        <v>14.310000419616699</v>
      </c>
      <c r="G109" s="1"/>
      <c r="H109" s="1">
        <f>(F109-C109)</f>
        <v>9.3160004615783691</v>
      </c>
      <c r="I109" s="10">
        <v>9.3160004615783691</v>
      </c>
      <c r="J109" s="1"/>
      <c r="K109" s="1">
        <f>(I109-J$2)</f>
        <v>-13.711249351501465</v>
      </c>
      <c r="L109" s="5">
        <f t="shared" si="12"/>
        <v>13412.116984822625</v>
      </c>
    </row>
    <row r="110" spans="1:12">
      <c r="A110" t="s">
        <v>505</v>
      </c>
      <c r="B110" t="s">
        <v>512</v>
      </c>
      <c r="C110" s="2">
        <v>5.1020002365112305</v>
      </c>
      <c r="D110" s="1"/>
      <c r="E110" t="s">
        <v>515</v>
      </c>
      <c r="F110" s="14">
        <v>14.534999847412109</v>
      </c>
      <c r="G110" s="1"/>
      <c r="H110" s="1">
        <f>(F110-C110)</f>
        <v>9.4329996109008789</v>
      </c>
      <c r="I110" s="10">
        <v>9.4329996109008789</v>
      </c>
      <c r="J110" s="1"/>
      <c r="K110" s="1">
        <f>(I110-J$2)</f>
        <v>-13.594250202178955</v>
      </c>
      <c r="L110" s="5">
        <f t="shared" si="12"/>
        <v>12367.362181861354</v>
      </c>
    </row>
    <row r="111" spans="1:12">
      <c r="A111" t="s">
        <v>506</v>
      </c>
      <c r="B111" t="s">
        <v>512</v>
      </c>
      <c r="C111" s="2">
        <v>5.1760001182556152</v>
      </c>
      <c r="D111" s="4">
        <f>AVERAGE(C111:C114)</f>
        <v>5.2380000352859497</v>
      </c>
      <c r="E111" t="s">
        <v>515</v>
      </c>
      <c r="F111" s="14">
        <v>14.826000213623047</v>
      </c>
      <c r="G111" s="4">
        <f>AVERAGE(F111:F114)</f>
        <v>14.518250226974487</v>
      </c>
      <c r="H111" s="7">
        <f>(F111-C114)</f>
        <v>9.8600001335144043</v>
      </c>
      <c r="I111" s="12">
        <v>9.8600001335144043</v>
      </c>
      <c r="J111" s="1">
        <f>AVERAGE(I111:I114)</f>
        <v>9.3327502012252808</v>
      </c>
      <c r="K111" s="1">
        <f>(I111-I107)</f>
        <v>-7.3999881744384766E-2</v>
      </c>
      <c r="L111" s="5">
        <f t="shared" si="12"/>
        <v>1.0526310684267965</v>
      </c>
    </row>
    <row r="112" spans="1:12">
      <c r="A112" t="s">
        <v>506</v>
      </c>
      <c r="B112" t="s">
        <v>512</v>
      </c>
      <c r="C112" s="2">
        <v>5.4860000610351562</v>
      </c>
      <c r="D112" s="1"/>
      <c r="E112" t="s">
        <v>515</v>
      </c>
      <c r="F112" s="14">
        <v>14.378000259399414</v>
      </c>
      <c r="G112" s="1"/>
      <c r="H112" s="1">
        <f t="shared" ref="H112:H118" si="13">(F112-C112)</f>
        <v>8.8920001983642578</v>
      </c>
      <c r="I112" s="10">
        <v>8.8920001983642578</v>
      </c>
      <c r="J112" s="1"/>
      <c r="K112" s="1">
        <f>(I112-I108)</f>
        <v>-0.8340001106262207</v>
      </c>
      <c r="L112" s="5">
        <f t="shared" si="12"/>
        <v>1.7826211284857763</v>
      </c>
    </row>
    <row r="113" spans="1:12">
      <c r="A113" t="s">
        <v>506</v>
      </c>
      <c r="B113" t="s">
        <v>512</v>
      </c>
      <c r="C113" s="2">
        <v>5.3239998817443848</v>
      </c>
      <c r="D113" s="1"/>
      <c r="E113" t="s">
        <v>515</v>
      </c>
      <c r="F113" s="14">
        <v>14.579000473022461</v>
      </c>
      <c r="G113" s="1"/>
      <c r="H113" s="1">
        <f t="shared" si="13"/>
        <v>9.2550005912780762</v>
      </c>
      <c r="I113" s="10">
        <v>9.2550005912780762</v>
      </c>
      <c r="J113" s="1"/>
      <c r="K113" s="1">
        <f>(I113-I109)</f>
        <v>-6.0999870300292969E-2</v>
      </c>
      <c r="L113" s="5">
        <f t="shared" si="12"/>
        <v>1.0431884997461791</v>
      </c>
    </row>
    <row r="114" spans="1:12">
      <c r="A114" t="s">
        <v>506</v>
      </c>
      <c r="B114" t="s">
        <v>512</v>
      </c>
      <c r="C114" s="2">
        <v>4.9660000801086426</v>
      </c>
      <c r="D114" s="1"/>
      <c r="E114" t="s">
        <v>515</v>
      </c>
      <c r="F114" s="14">
        <v>14.289999961853027</v>
      </c>
      <c r="G114" s="1"/>
      <c r="H114" s="1">
        <f t="shared" si="13"/>
        <v>9.3239998817443848</v>
      </c>
      <c r="I114" s="10">
        <v>9.3239998817443848</v>
      </c>
      <c r="J114" s="1"/>
      <c r="K114" s="1">
        <f>(I114-I110)</f>
        <v>-0.10899972915649414</v>
      </c>
      <c r="L114" s="5">
        <f t="shared" si="12"/>
        <v>1.0784802292265805</v>
      </c>
    </row>
    <row r="115" spans="1:12">
      <c r="A115" t="s">
        <v>507</v>
      </c>
      <c r="B115" t="s">
        <v>512</v>
      </c>
      <c r="C115" s="2">
        <v>5.6570000648498535</v>
      </c>
      <c r="D115" s="4">
        <f>AVERAGE(C115:C118)</f>
        <v>5.530500054359436</v>
      </c>
      <c r="E115" t="s">
        <v>515</v>
      </c>
      <c r="F115" s="14">
        <v>15.104999542236328</v>
      </c>
      <c r="G115" s="4">
        <f>AVERAGE(F115:F118)</f>
        <v>15.229999780654907</v>
      </c>
      <c r="H115" s="1">
        <f t="shared" si="13"/>
        <v>9.4479994773864746</v>
      </c>
      <c r="I115" s="10">
        <v>9.4479994773864746</v>
      </c>
      <c r="J115" s="1">
        <f>AVERAGE(I115:I118)</f>
        <v>9.6994997262954712</v>
      </c>
      <c r="K115" s="1">
        <f>(I115-J$2)</f>
        <v>-13.579250335693359</v>
      </c>
      <c r="L115" s="5">
        <f t="shared" si="12"/>
        <v>12239.443438277647</v>
      </c>
    </row>
    <row r="116" spans="1:12">
      <c r="A116" t="s">
        <v>507</v>
      </c>
      <c r="B116" t="s">
        <v>512</v>
      </c>
      <c r="C116" s="2">
        <v>5.5269999504089355</v>
      </c>
      <c r="D116" s="1"/>
      <c r="E116" t="s">
        <v>515</v>
      </c>
      <c r="F116" s="14">
        <v>15.368000030517578</v>
      </c>
      <c r="G116" s="1"/>
      <c r="H116" s="1">
        <f t="shared" si="13"/>
        <v>9.8410000801086426</v>
      </c>
      <c r="I116" s="10">
        <v>9.8410000801086426</v>
      </c>
      <c r="J116" s="1"/>
      <c r="K116" s="1">
        <f>(I116-J$2)</f>
        <v>-13.186249732971191</v>
      </c>
      <c r="L116" s="5">
        <f t="shared" si="12"/>
        <v>9320.875346506733</v>
      </c>
    </row>
    <row r="117" spans="1:12">
      <c r="A117" t="s">
        <v>507</v>
      </c>
      <c r="B117" t="s">
        <v>512</v>
      </c>
      <c r="C117" s="2">
        <v>5.6110000610351562</v>
      </c>
      <c r="D117" s="1"/>
      <c r="E117" t="s">
        <v>515</v>
      </c>
      <c r="F117" s="14">
        <v>15.319999694824219</v>
      </c>
      <c r="G117" s="1"/>
      <c r="H117" s="1">
        <f t="shared" si="13"/>
        <v>9.7089996337890625</v>
      </c>
      <c r="I117" s="10">
        <v>9.7089996337890625</v>
      </c>
      <c r="J117" s="1"/>
      <c r="K117" s="1">
        <f>(I117-J$2)</f>
        <v>-13.318250179290771</v>
      </c>
      <c r="L117" s="5">
        <f t="shared" si="12"/>
        <v>10213.92803812724</v>
      </c>
    </row>
    <row r="118" spans="1:12">
      <c r="A118" t="s">
        <v>507</v>
      </c>
      <c r="B118" t="s">
        <v>512</v>
      </c>
      <c r="C118" s="2">
        <v>5.3270001411437988</v>
      </c>
      <c r="D118" s="1"/>
      <c r="E118" t="s">
        <v>515</v>
      </c>
      <c r="F118" s="14">
        <v>15.126999855041504</v>
      </c>
      <c r="G118" s="1"/>
      <c r="H118" s="1">
        <f t="shared" si="13"/>
        <v>9.7999997138977051</v>
      </c>
      <c r="I118" s="10">
        <v>9.7999997138977051</v>
      </c>
      <c r="J118" s="1"/>
      <c r="K118" s="1">
        <f>(I118-J$2)</f>
        <v>-13.227250099182129</v>
      </c>
      <c r="L118" s="5">
        <f t="shared" si="12"/>
        <v>9589.5679316300975</v>
      </c>
    </row>
    <row r="119" spans="1:12">
      <c r="A119" t="s">
        <v>511</v>
      </c>
      <c r="B119" t="s">
        <v>512</v>
      </c>
      <c r="C119" s="2">
        <v>5.7940001487731934</v>
      </c>
      <c r="D119" s="4">
        <f>AVERAGE(C119:C122)</f>
        <v>5.9465001821517944</v>
      </c>
      <c r="E119" t="s">
        <v>515</v>
      </c>
      <c r="F119" s="14">
        <v>15.85200023651123</v>
      </c>
      <c r="G119" s="4">
        <f>AVERAGE(F119:F122)</f>
        <v>15.990000247955322</v>
      </c>
      <c r="H119" s="7">
        <f>(F119-C122)</f>
        <v>9.8680000305175781</v>
      </c>
      <c r="I119" s="12">
        <v>9.8680000305175781</v>
      </c>
      <c r="J119" s="1">
        <f>AVERAGE(I119:I122)</f>
        <v>9.9960000514984131</v>
      </c>
      <c r="K119" s="1">
        <f>(I119-I115)</f>
        <v>0.42000055313110352</v>
      </c>
      <c r="L119" s="5">
        <f t="shared" si="12"/>
        <v>0.74742433775397776</v>
      </c>
    </row>
    <row r="120" spans="1:12">
      <c r="A120" t="s">
        <v>511</v>
      </c>
      <c r="B120" t="s">
        <v>512</v>
      </c>
      <c r="C120" s="2">
        <v>6.0300002098083496</v>
      </c>
      <c r="D120" s="1"/>
      <c r="E120" t="s">
        <v>515</v>
      </c>
      <c r="F120" s="14">
        <v>16.047000885009766</v>
      </c>
      <c r="G120" s="1"/>
      <c r="H120" s="1">
        <f t="shared" ref="H120:H126" si="14">(F120-C120)</f>
        <v>10.017000675201416</v>
      </c>
      <c r="I120" s="10">
        <v>10.017000675201416</v>
      </c>
      <c r="J120" s="1"/>
      <c r="K120" s="1">
        <f>(I120-I116)</f>
        <v>0.17600059509277344</v>
      </c>
      <c r="L120" s="5">
        <f t="shared" si="12"/>
        <v>0.88515339946530736</v>
      </c>
    </row>
    <row r="121" spans="1:12">
      <c r="A121" t="s">
        <v>511</v>
      </c>
      <c r="B121" t="s">
        <v>512</v>
      </c>
      <c r="C121" s="2">
        <v>5.9780001640319824</v>
      </c>
      <c r="D121" s="1"/>
      <c r="E121" t="s">
        <v>515</v>
      </c>
      <c r="F121" s="14">
        <v>16.131999969482422</v>
      </c>
      <c r="G121" s="1"/>
      <c r="H121" s="1">
        <f t="shared" si="14"/>
        <v>10.153999805450439</v>
      </c>
      <c r="I121" s="10">
        <v>10.153999805450439</v>
      </c>
      <c r="J121" s="1"/>
      <c r="K121" s="1">
        <f>(I121-I117)</f>
        <v>0.44500017166137695</v>
      </c>
      <c r="L121" s="5">
        <f t="shared" si="12"/>
        <v>0.73458422923346989</v>
      </c>
    </row>
    <row r="122" spans="1:12">
      <c r="A122" t="s">
        <v>511</v>
      </c>
      <c r="B122" t="s">
        <v>512</v>
      </c>
      <c r="C122" s="2">
        <v>5.9840002059936523</v>
      </c>
      <c r="D122" s="1"/>
      <c r="E122" t="s">
        <v>515</v>
      </c>
      <c r="F122" s="14">
        <v>15.928999900817871</v>
      </c>
      <c r="G122" s="1"/>
      <c r="H122" s="1">
        <f t="shared" si="14"/>
        <v>9.9449996948242188</v>
      </c>
      <c r="I122" s="10">
        <v>9.9449996948242188</v>
      </c>
      <c r="J122" s="1"/>
      <c r="K122" s="1">
        <f>(I122-I118)</f>
        <v>0.14499998092651367</v>
      </c>
      <c r="L122" s="5">
        <f t="shared" si="12"/>
        <v>0.90437938951764663</v>
      </c>
    </row>
    <row r="123" spans="1:12">
      <c r="A123" t="s">
        <v>509</v>
      </c>
      <c r="B123" t="s">
        <v>512</v>
      </c>
      <c r="C123" s="2">
        <v>5.1279997825622559</v>
      </c>
      <c r="D123" s="4">
        <f>AVERAGE(C123:C126)</f>
        <v>5.3614999055862427</v>
      </c>
      <c r="E123" t="s">
        <v>515</v>
      </c>
      <c r="F123" s="14">
        <v>14.23799991607666</v>
      </c>
      <c r="G123" s="4">
        <f>AVERAGE(F123:F126)</f>
        <v>14.271749973297119</v>
      </c>
      <c r="H123" s="1">
        <f t="shared" si="14"/>
        <v>9.1100001335144043</v>
      </c>
      <c r="I123" s="10">
        <v>9.1100001335144043</v>
      </c>
      <c r="J123" s="1">
        <f>AVERAGE(I123:I126)</f>
        <v>8.9102500677108765</v>
      </c>
      <c r="K123" s="1">
        <f>(I123-J$2)</f>
        <v>-13.91724967956543</v>
      </c>
      <c r="L123" s="5">
        <f t="shared" si="12"/>
        <v>15470.687393355425</v>
      </c>
    </row>
    <row r="124" spans="1:12">
      <c r="A124" t="s">
        <v>509</v>
      </c>
      <c r="B124" t="s">
        <v>512</v>
      </c>
      <c r="C124" s="2">
        <v>5.554999828338623</v>
      </c>
      <c r="D124" s="1"/>
      <c r="E124" t="s">
        <v>515</v>
      </c>
      <c r="F124" s="14">
        <v>14.321999549865723</v>
      </c>
      <c r="G124" s="1"/>
      <c r="H124" s="1">
        <f t="shared" si="14"/>
        <v>8.7669997215270996</v>
      </c>
      <c r="I124" s="10">
        <v>8.7669997215270996</v>
      </c>
      <c r="J124" s="1"/>
      <c r="K124" s="1">
        <f>(I124-J$2)</f>
        <v>-14.260250091552734</v>
      </c>
      <c r="L124" s="5">
        <f t="shared" si="12"/>
        <v>19622.892435057311</v>
      </c>
    </row>
    <row r="125" spans="1:12">
      <c r="A125" t="s">
        <v>509</v>
      </c>
      <c r="B125" t="s">
        <v>512</v>
      </c>
      <c r="C125" s="2">
        <v>5.6669998168945312</v>
      </c>
      <c r="D125" s="1"/>
      <c r="E125" t="s">
        <v>515</v>
      </c>
      <c r="F125" s="14">
        <v>14.416000366210938</v>
      </c>
      <c r="G125" s="1"/>
      <c r="H125" s="1">
        <f t="shared" si="14"/>
        <v>8.7490005493164062</v>
      </c>
      <c r="I125" s="10">
        <v>8.7490005493164062</v>
      </c>
      <c r="J125" s="1"/>
      <c r="K125" s="1">
        <f>(I125-J$2)</f>
        <v>-14.278249263763428</v>
      </c>
      <c r="L125" s="5">
        <f t="shared" si="12"/>
        <v>19869.242668665072</v>
      </c>
    </row>
    <row r="126" spans="1:12">
      <c r="A126" t="s">
        <v>509</v>
      </c>
      <c r="B126" t="s">
        <v>512</v>
      </c>
      <c r="C126" s="2">
        <v>5.0960001945495605</v>
      </c>
      <c r="D126" s="1"/>
      <c r="E126" t="s">
        <v>515</v>
      </c>
      <c r="F126" s="14">
        <v>14.111000061035156</v>
      </c>
      <c r="G126" s="1"/>
      <c r="H126" s="1">
        <f t="shared" si="14"/>
        <v>9.0149998664855957</v>
      </c>
      <c r="I126" s="10">
        <v>9.0149998664855957</v>
      </c>
      <c r="J126" s="1"/>
      <c r="K126" s="1">
        <f>(I126-J$2)</f>
        <v>-14.012249946594238</v>
      </c>
      <c r="L126" s="5">
        <f t="shared" si="12"/>
        <v>16523.709101942331</v>
      </c>
    </row>
    <row r="127" spans="1:12">
      <c r="A127" t="s">
        <v>510</v>
      </c>
      <c r="B127" t="s">
        <v>512</v>
      </c>
      <c r="C127" s="2">
        <v>5.5130000114440918</v>
      </c>
      <c r="D127" s="4">
        <f>AVERAGE(C127:C130)</f>
        <v>5.5144999027252197</v>
      </c>
      <c r="E127" t="s">
        <v>515</v>
      </c>
      <c r="F127" s="14">
        <v>14.763999938964844</v>
      </c>
      <c r="G127" s="4">
        <f>AVERAGE(F127:F130)</f>
        <v>14.349499940872192</v>
      </c>
      <c r="H127" s="7">
        <f>(F127-C130)</f>
        <v>9.2620000839233398</v>
      </c>
      <c r="I127" s="12">
        <v>9.2620000839233398</v>
      </c>
      <c r="J127" s="1">
        <f>AVERAGE(I127:I130)</f>
        <v>8.8377500772476196</v>
      </c>
      <c r="K127" s="1">
        <f>(I127-I123)</f>
        <v>0.15199995040893555</v>
      </c>
      <c r="L127" s="5">
        <f t="shared" si="12"/>
        <v>0.90000196073009475</v>
      </c>
    </row>
    <row r="128" spans="1:12">
      <c r="A128" t="s">
        <v>510</v>
      </c>
      <c r="B128" t="s">
        <v>512</v>
      </c>
      <c r="C128" s="2">
        <v>5.5069999694824219</v>
      </c>
      <c r="D128" s="1"/>
      <c r="E128" t="s">
        <v>515</v>
      </c>
      <c r="F128" s="14">
        <v>13.182999610900879</v>
      </c>
      <c r="G128" s="1"/>
      <c r="H128" s="1">
        <f>(F128-C128)</f>
        <v>7.675999641418457</v>
      </c>
      <c r="I128" s="10">
        <v>7.675999641418457</v>
      </c>
      <c r="J128" s="1"/>
      <c r="K128" s="1">
        <f>(I128-I124)</f>
        <v>-1.0910000801086426</v>
      </c>
      <c r="L128" s="5">
        <f t="shared" si="12"/>
        <v>2.130216525071535</v>
      </c>
    </row>
    <row r="129" spans="1:12">
      <c r="A129" t="s">
        <v>510</v>
      </c>
      <c r="B129" t="s">
        <v>512</v>
      </c>
      <c r="C129" s="2">
        <v>5.5359997749328613</v>
      </c>
      <c r="D129" s="1"/>
      <c r="E129" t="s">
        <v>515</v>
      </c>
      <c r="F129" s="14">
        <v>14.680000305175781</v>
      </c>
      <c r="G129" s="1"/>
      <c r="H129" s="1">
        <f>(F129-C129)</f>
        <v>9.1440005302429199</v>
      </c>
      <c r="I129" s="10">
        <v>9.1440005302429199</v>
      </c>
      <c r="J129" s="1"/>
      <c r="K129" s="1">
        <f>(I129-I125)</f>
        <v>0.39499998092651367</v>
      </c>
      <c r="L129" s="5">
        <f t="shared" si="12"/>
        <v>0.76048938667473198</v>
      </c>
    </row>
    <row r="130" spans="1:12">
      <c r="A130" t="s">
        <v>510</v>
      </c>
      <c r="B130" t="s">
        <v>512</v>
      </c>
      <c r="C130" s="2">
        <v>5.5019998550415039</v>
      </c>
      <c r="D130" s="1"/>
      <c r="E130" t="s">
        <v>515</v>
      </c>
      <c r="F130" s="14">
        <v>14.770999908447266</v>
      </c>
      <c r="G130" s="1"/>
      <c r="H130" s="1">
        <f>(F130-C130)</f>
        <v>9.2690000534057617</v>
      </c>
      <c r="I130" s="10">
        <v>9.2690000534057617</v>
      </c>
      <c r="J130" s="1"/>
      <c r="K130" s="1">
        <f>(I130-I126)</f>
        <v>0.25400018692016602</v>
      </c>
      <c r="L130" s="5">
        <f t="shared" si="12"/>
        <v>0.83856807579337245</v>
      </c>
    </row>
    <row r="131" spans="1:12">
      <c r="C131" s="2"/>
      <c r="D131" s="1"/>
      <c r="E131" s="1"/>
      <c r="F131" s="8"/>
      <c r="G131" s="1"/>
      <c r="H131" s="1"/>
      <c r="I131" s="6"/>
      <c r="J131" s="1"/>
      <c r="K131" s="1"/>
      <c r="L131" s="5"/>
    </row>
    <row r="133" spans="1:12">
      <c r="A133" t="s">
        <v>505</v>
      </c>
      <c r="B133" t="s">
        <v>512</v>
      </c>
      <c r="C133" s="2">
        <v>4.6750001907348633</v>
      </c>
      <c r="D133" s="1">
        <f>AVERAGE(C133:C135)</f>
        <v>4.8396666844685869</v>
      </c>
      <c r="E133" t="s">
        <v>516</v>
      </c>
      <c r="F133" s="14">
        <v>26.117000579833984</v>
      </c>
      <c r="G133" s="4">
        <f>AVERAGE(F133:F136)</f>
        <v>25.994750022888184</v>
      </c>
      <c r="H133" s="1">
        <f>(F133-C133)</f>
        <v>21.442000389099121</v>
      </c>
      <c r="I133" s="6">
        <v>21.442000389099121</v>
      </c>
      <c r="J133" s="1">
        <f>AVERAGE(I133:I136)</f>
        <v>21.089499950408936</v>
      </c>
      <c r="K133" s="1">
        <f>(I133-J$2)</f>
        <v>-1.5852494239807129</v>
      </c>
      <c r="L133" s="5">
        <f t="shared" ref="L133:L156" si="15">2^(-K133)</f>
        <v>3.0005966994790403</v>
      </c>
    </row>
    <row r="134" spans="1:12">
      <c r="A134" t="s">
        <v>505</v>
      </c>
      <c r="B134" t="s">
        <v>512</v>
      </c>
      <c r="C134" s="2">
        <v>4.8499999046325684</v>
      </c>
      <c r="D134" s="1"/>
      <c r="E134" t="s">
        <v>516</v>
      </c>
      <c r="F134" s="14">
        <v>26.01099967956543</v>
      </c>
      <c r="G134" s="1"/>
      <c r="H134" s="1">
        <f>(F134-C134)</f>
        <v>21.160999774932861</v>
      </c>
      <c r="I134" s="6">
        <v>21.160999774932861</v>
      </c>
      <c r="J134" s="1"/>
      <c r="K134" s="1">
        <f>(I134-J$2)</f>
        <v>-1.8662500381469727</v>
      </c>
      <c r="L134" s="5">
        <f t="shared" si="15"/>
        <v>3.6458369395959962</v>
      </c>
    </row>
    <row r="135" spans="1:12">
      <c r="A135" t="s">
        <v>505</v>
      </c>
      <c r="B135" t="s">
        <v>512</v>
      </c>
      <c r="C135" s="2">
        <v>4.9939999580383301</v>
      </c>
      <c r="D135" s="1"/>
      <c r="E135" t="s">
        <v>516</v>
      </c>
      <c r="F135" s="14">
        <v>25.878000259399414</v>
      </c>
      <c r="G135" s="1"/>
      <c r="H135" s="1">
        <f>(F135-C135)</f>
        <v>20.884000301361084</v>
      </c>
      <c r="I135" s="6">
        <v>20.884000301361084</v>
      </c>
      <c r="J135" s="1"/>
      <c r="K135" s="1">
        <f>(I135-J$2)</f>
        <v>-2.14324951171875</v>
      </c>
      <c r="L135" s="5">
        <f t="shared" si="15"/>
        <v>4.4175593321617299</v>
      </c>
    </row>
    <row r="136" spans="1:12">
      <c r="A136" t="s">
        <v>505</v>
      </c>
      <c r="B136" t="s">
        <v>512</v>
      </c>
      <c r="C136" s="2">
        <v>5.1020002365112305</v>
      </c>
      <c r="D136" s="1"/>
      <c r="E136" t="s">
        <v>516</v>
      </c>
      <c r="F136" s="14">
        <v>25.972999572753906</v>
      </c>
      <c r="G136" s="1"/>
      <c r="H136" s="1">
        <f>(F136-C136)</f>
        <v>20.870999336242676</v>
      </c>
      <c r="I136" s="6">
        <v>20.870999336242676</v>
      </c>
      <c r="J136" s="1"/>
      <c r="K136" s="1">
        <f>(I136-J$2)</f>
        <v>-2.1562504768371582</v>
      </c>
      <c r="L136" s="5">
        <f t="shared" si="15"/>
        <v>4.4575484436848027</v>
      </c>
    </row>
    <row r="137" spans="1:12">
      <c r="A137" t="s">
        <v>506</v>
      </c>
      <c r="B137" t="s">
        <v>512</v>
      </c>
      <c r="C137" s="2">
        <v>5.1760001182556152</v>
      </c>
      <c r="D137" s="1">
        <f>AVERAGE(C137:C139)</f>
        <v>5.3286666870117188</v>
      </c>
      <c r="E137" t="s">
        <v>516</v>
      </c>
      <c r="F137" s="14">
        <v>19.774999618530273</v>
      </c>
      <c r="G137" s="4">
        <f>AVERAGE(F137:F140)</f>
        <v>19.637499809265137</v>
      </c>
      <c r="H137" s="7">
        <f>(F137-C140)</f>
        <v>14.808999538421631</v>
      </c>
      <c r="I137" s="6">
        <v>14.808999538421631</v>
      </c>
      <c r="J137" s="1">
        <f>AVERAGE(I137:I140)</f>
        <v>14.45199978351593</v>
      </c>
      <c r="K137" s="1">
        <f>(I137-I133)</f>
        <v>-6.6330008506774902</v>
      </c>
      <c r="L137" s="5">
        <f t="shared" si="15"/>
        <v>99.250388934865498</v>
      </c>
    </row>
    <row r="138" spans="1:12">
      <c r="A138" t="s">
        <v>506</v>
      </c>
      <c r="B138" t="s">
        <v>512</v>
      </c>
      <c r="C138" s="2">
        <v>5.4860000610351562</v>
      </c>
      <c r="D138" s="1"/>
      <c r="E138" t="s">
        <v>516</v>
      </c>
      <c r="F138" s="14">
        <v>19.194000244140625</v>
      </c>
      <c r="G138" s="1"/>
      <c r="H138" s="1">
        <f t="shared" ref="H138:H144" si="16">(F138-C138)</f>
        <v>13.708000183105469</v>
      </c>
      <c r="I138" s="6">
        <v>13.708000183105469</v>
      </c>
      <c r="J138" s="1"/>
      <c r="K138" s="1">
        <f>(I138-I134)</f>
        <v>-7.4529995918273926</v>
      </c>
      <c r="L138" s="5">
        <f t="shared" si="15"/>
        <v>175.2170785026855</v>
      </c>
    </row>
    <row r="139" spans="1:12">
      <c r="A139" t="s">
        <v>506</v>
      </c>
      <c r="B139" t="s">
        <v>512</v>
      </c>
      <c r="C139" s="2">
        <v>5.3239998817443848</v>
      </c>
      <c r="D139" s="1"/>
      <c r="E139" t="s">
        <v>516</v>
      </c>
      <c r="F139" s="14">
        <v>19.895999908447266</v>
      </c>
      <c r="G139" s="1"/>
      <c r="H139" s="1">
        <f t="shared" si="16"/>
        <v>14.572000026702881</v>
      </c>
      <c r="I139" s="6">
        <v>14.572000026702881</v>
      </c>
      <c r="J139" s="1"/>
      <c r="K139" s="1">
        <f>(I139-I135)</f>
        <v>-6.3120002746582031</v>
      </c>
      <c r="L139" s="5">
        <f t="shared" si="15"/>
        <v>79.451374583507928</v>
      </c>
    </row>
    <row r="140" spans="1:12">
      <c r="A140" t="s">
        <v>506</v>
      </c>
      <c r="B140" t="s">
        <v>512</v>
      </c>
      <c r="C140" s="2">
        <v>4.9660000801086426</v>
      </c>
      <c r="D140" s="1"/>
      <c r="E140" t="s">
        <v>516</v>
      </c>
      <c r="F140" s="14">
        <v>19.684999465942383</v>
      </c>
      <c r="G140" s="1"/>
      <c r="H140" s="1">
        <f t="shared" si="16"/>
        <v>14.71899938583374</v>
      </c>
      <c r="I140" s="6">
        <v>14.71899938583374</v>
      </c>
      <c r="J140" s="1"/>
      <c r="K140" s="1">
        <f>(I140-I136)</f>
        <v>-6.1519999504089355</v>
      </c>
      <c r="L140" s="5">
        <f t="shared" si="15"/>
        <v>71.110956189564575</v>
      </c>
    </row>
    <row r="141" spans="1:12">
      <c r="A141" t="s">
        <v>507</v>
      </c>
      <c r="B141" t="s">
        <v>512</v>
      </c>
      <c r="C141" s="2">
        <v>5.6570000648498535</v>
      </c>
      <c r="D141" s="1">
        <f>AVERAGE(C141:C143)</f>
        <v>5.5983333587646484</v>
      </c>
      <c r="E141" t="s">
        <v>516</v>
      </c>
      <c r="F141" s="14">
        <v>26.132999420166016</v>
      </c>
      <c r="G141" s="4">
        <f>AVERAGE(F141:F144)</f>
        <v>26.151749610900879</v>
      </c>
      <c r="H141" s="1">
        <f t="shared" si="16"/>
        <v>20.475999355316162</v>
      </c>
      <c r="I141" s="6">
        <v>20.475999355316162</v>
      </c>
      <c r="J141" s="1">
        <f>AVERAGE(I141:I144)</f>
        <v>20.621249556541443</v>
      </c>
      <c r="K141" s="1">
        <f>(I141-J$2)</f>
        <v>-2.5512504577636719</v>
      </c>
      <c r="L141" s="5">
        <f t="shared" si="15"/>
        <v>5.8614209767944283</v>
      </c>
    </row>
    <row r="142" spans="1:12">
      <c r="A142" t="s">
        <v>507</v>
      </c>
      <c r="B142" t="s">
        <v>512</v>
      </c>
      <c r="C142" s="2">
        <v>5.5269999504089355</v>
      </c>
      <c r="D142" s="1"/>
      <c r="E142" t="s">
        <v>516</v>
      </c>
      <c r="F142" s="14">
        <v>26.083999633789062</v>
      </c>
      <c r="G142" s="1"/>
      <c r="H142" s="1">
        <f t="shared" si="16"/>
        <v>20.556999683380127</v>
      </c>
      <c r="I142" s="6">
        <v>20.556999683380127</v>
      </c>
      <c r="J142" s="1"/>
      <c r="K142" s="1">
        <f>(I142-J$2)</f>
        <v>-2.470250129699707</v>
      </c>
      <c r="L142" s="5">
        <f t="shared" si="15"/>
        <v>5.5413985385332651</v>
      </c>
    </row>
    <row r="143" spans="1:12">
      <c r="A143" t="s">
        <v>507</v>
      </c>
      <c r="B143" t="s">
        <v>512</v>
      </c>
      <c r="C143" s="2">
        <v>5.6110000610351562</v>
      </c>
      <c r="D143" s="1"/>
      <c r="E143" t="s">
        <v>516</v>
      </c>
      <c r="F143" s="14">
        <v>26.23900032043457</v>
      </c>
      <c r="G143" s="1"/>
      <c r="H143" s="1">
        <f t="shared" si="16"/>
        <v>20.628000259399414</v>
      </c>
      <c r="I143" s="6">
        <v>20.628000259399414</v>
      </c>
      <c r="J143" s="1"/>
      <c r="K143" s="1">
        <f>(I143-J$2)</f>
        <v>-2.3992495536804199</v>
      </c>
      <c r="L143" s="5">
        <f t="shared" si="15"/>
        <v>5.2752868846202983</v>
      </c>
    </row>
    <row r="144" spans="1:12">
      <c r="A144" t="s">
        <v>507</v>
      </c>
      <c r="B144" t="s">
        <v>512</v>
      </c>
      <c r="C144" s="2">
        <v>5.3270001411437988</v>
      </c>
      <c r="D144" s="1"/>
      <c r="E144" t="s">
        <v>516</v>
      </c>
      <c r="F144" s="14">
        <v>26.150999069213867</v>
      </c>
      <c r="G144" s="1"/>
      <c r="H144" s="1">
        <f t="shared" si="16"/>
        <v>20.823998928070068</v>
      </c>
      <c r="I144" s="6">
        <v>20.823998928070068</v>
      </c>
      <c r="J144" s="1"/>
      <c r="K144" s="1">
        <f>(I144-J$2)</f>
        <v>-2.2032508850097656</v>
      </c>
      <c r="L144" s="5">
        <f t="shared" si="15"/>
        <v>4.6051587338781088</v>
      </c>
    </row>
    <row r="145" spans="1:12">
      <c r="A145" t="s">
        <v>511</v>
      </c>
      <c r="B145" t="s">
        <v>512</v>
      </c>
      <c r="C145" s="2">
        <v>5.7940001487731934</v>
      </c>
      <c r="D145" s="1">
        <f>AVERAGE(C145:C147)</f>
        <v>5.9340001742045088</v>
      </c>
      <c r="E145" t="s">
        <v>516</v>
      </c>
      <c r="F145" s="14">
        <v>27.02400016784668</v>
      </c>
      <c r="G145" s="4">
        <f>AVERAGE(F145:F148)</f>
        <v>27.141250133514404</v>
      </c>
      <c r="H145" s="7">
        <f>(F145-C148)</f>
        <v>21.039999961853027</v>
      </c>
      <c r="I145" s="6">
        <v>21.039999961853027</v>
      </c>
      <c r="J145" s="1">
        <f>AVERAGE(I145:I148)</f>
        <v>21.147249937057495</v>
      </c>
      <c r="K145" s="1">
        <f>(I145-I141)</f>
        <v>0.56400060653686523</v>
      </c>
      <c r="L145" s="5">
        <f t="shared" si="15"/>
        <v>0.67642383114343163</v>
      </c>
    </row>
    <row r="146" spans="1:12">
      <c r="A146" t="s">
        <v>511</v>
      </c>
      <c r="B146" t="s">
        <v>512</v>
      </c>
      <c r="C146" s="2">
        <v>6.0300002098083496</v>
      </c>
      <c r="D146" s="1"/>
      <c r="E146" t="s">
        <v>516</v>
      </c>
      <c r="F146" s="14">
        <v>27.339000701904297</v>
      </c>
      <c r="G146" s="1"/>
      <c r="H146" s="1">
        <f t="shared" ref="H146:H152" si="17">(F146-C146)</f>
        <v>21.309000492095947</v>
      </c>
      <c r="I146" s="6">
        <v>21.309000492095947</v>
      </c>
      <c r="J146" s="1"/>
      <c r="K146" s="1">
        <f>(I146-I142)</f>
        <v>0.75200080871582031</v>
      </c>
      <c r="L146" s="5">
        <f t="shared" si="15"/>
        <v>0.59377950018811509</v>
      </c>
    </row>
    <row r="147" spans="1:12">
      <c r="A147" t="s">
        <v>511</v>
      </c>
      <c r="B147" t="s">
        <v>512</v>
      </c>
      <c r="C147" s="2">
        <v>5.9780001640319824</v>
      </c>
      <c r="D147" s="1"/>
      <c r="E147" t="s">
        <v>516</v>
      </c>
      <c r="F147" s="14">
        <v>27</v>
      </c>
      <c r="G147" s="1"/>
      <c r="H147" s="1">
        <f t="shared" si="17"/>
        <v>21.021999835968018</v>
      </c>
      <c r="I147" s="6">
        <v>21.021999835968018</v>
      </c>
      <c r="J147" s="1"/>
      <c r="K147" s="1">
        <f>(I147-I143)</f>
        <v>0.39399957656860352</v>
      </c>
      <c r="L147" s="5">
        <f t="shared" si="15"/>
        <v>0.76101691377832248</v>
      </c>
    </row>
    <row r="148" spans="1:12">
      <c r="A148" t="s">
        <v>511</v>
      </c>
      <c r="B148" t="s">
        <v>512</v>
      </c>
      <c r="C148" s="2">
        <v>5.9840002059936523</v>
      </c>
      <c r="D148" s="1"/>
      <c r="E148" t="s">
        <v>516</v>
      </c>
      <c r="F148" s="14">
        <v>27.201999664306641</v>
      </c>
      <c r="G148" s="1"/>
      <c r="H148" s="1">
        <f t="shared" si="17"/>
        <v>21.217999458312988</v>
      </c>
      <c r="I148" s="6">
        <v>21.217999458312988</v>
      </c>
      <c r="J148" s="1"/>
      <c r="K148" s="1">
        <f>(I148-I144)</f>
        <v>0.39400053024291992</v>
      </c>
      <c r="L148" s="5">
        <f t="shared" si="15"/>
        <v>0.7610164107184072</v>
      </c>
    </row>
    <row r="149" spans="1:12">
      <c r="A149" t="s">
        <v>509</v>
      </c>
      <c r="B149" t="s">
        <v>512</v>
      </c>
      <c r="C149" s="2">
        <v>5.1279997825622559</v>
      </c>
      <c r="D149" s="1">
        <f>AVERAGE(C149:C151)</f>
        <v>5.4499998092651367</v>
      </c>
      <c r="E149" t="s">
        <v>516</v>
      </c>
      <c r="F149" s="14">
        <v>26.117000579833984</v>
      </c>
      <c r="G149" s="4">
        <f>AVERAGE(F149:F152)</f>
        <v>25.817999839782715</v>
      </c>
      <c r="H149" s="1">
        <f t="shared" si="17"/>
        <v>20.989000797271729</v>
      </c>
      <c r="I149" s="6">
        <v>20.989000797271729</v>
      </c>
      <c r="J149" s="1">
        <f>AVERAGE(I149:I152)</f>
        <v>20.456499934196472</v>
      </c>
      <c r="K149" s="1">
        <f>(I149-J$2)</f>
        <v>-2.0382490158081055</v>
      </c>
      <c r="L149" s="5">
        <f t="shared" si="15"/>
        <v>4.1074670894337357</v>
      </c>
    </row>
    <row r="150" spans="1:12">
      <c r="A150" t="s">
        <v>509</v>
      </c>
      <c r="B150" t="s">
        <v>512</v>
      </c>
      <c r="C150" s="2">
        <v>5.554999828338623</v>
      </c>
      <c r="D150" s="1"/>
      <c r="E150" t="s">
        <v>516</v>
      </c>
      <c r="F150" s="14">
        <v>25.694999694824219</v>
      </c>
      <c r="G150" s="1"/>
      <c r="H150" s="1">
        <f t="shared" si="17"/>
        <v>20.139999866485596</v>
      </c>
      <c r="I150" s="6">
        <v>20.139999866485596</v>
      </c>
      <c r="J150" s="1"/>
      <c r="K150" s="1">
        <f>(I150-J$2)</f>
        <v>-2.8872499465942383</v>
      </c>
      <c r="L150" s="5">
        <f t="shared" si="15"/>
        <v>7.3985879175873839</v>
      </c>
    </row>
    <row r="151" spans="1:12">
      <c r="A151" t="s">
        <v>509</v>
      </c>
      <c r="B151" t="s">
        <v>512</v>
      </c>
      <c r="C151" s="2">
        <v>5.6669998168945312</v>
      </c>
      <c r="D151" s="1"/>
      <c r="E151" t="s">
        <v>516</v>
      </c>
      <c r="F151" s="14">
        <v>25.895999908447266</v>
      </c>
      <c r="G151" s="1"/>
      <c r="H151" s="1">
        <f t="shared" si="17"/>
        <v>20.229000091552734</v>
      </c>
      <c r="I151" s="6">
        <v>20.229000091552734</v>
      </c>
      <c r="J151" s="1"/>
      <c r="K151" s="1">
        <f>(I151-J$2)</f>
        <v>-2.7982497215270996</v>
      </c>
      <c r="L151" s="5">
        <f t="shared" si="15"/>
        <v>6.9559604099491015</v>
      </c>
    </row>
    <row r="152" spans="1:12">
      <c r="A152" t="s">
        <v>509</v>
      </c>
      <c r="B152" t="s">
        <v>512</v>
      </c>
      <c r="C152" s="2">
        <v>5.0960001945495605</v>
      </c>
      <c r="D152" s="1"/>
      <c r="E152" t="s">
        <v>516</v>
      </c>
      <c r="F152" s="14">
        <v>25.563999176025391</v>
      </c>
      <c r="G152" s="1"/>
      <c r="H152" s="1">
        <f t="shared" si="17"/>
        <v>20.46799898147583</v>
      </c>
      <c r="I152" s="6">
        <v>20.46799898147583</v>
      </c>
      <c r="J152" s="1"/>
      <c r="K152" s="1">
        <f>(I152-J$2)</f>
        <v>-2.5592508316040039</v>
      </c>
      <c r="L152" s="5">
        <f t="shared" si="15"/>
        <v>5.8940154066797925</v>
      </c>
    </row>
    <row r="153" spans="1:12">
      <c r="A153" t="s">
        <v>510</v>
      </c>
      <c r="B153" t="s">
        <v>512</v>
      </c>
      <c r="C153" s="2">
        <v>5.5130000114440918</v>
      </c>
      <c r="D153" s="1">
        <f>AVERAGE(C153:C155)</f>
        <v>5.518666585286458</v>
      </c>
      <c r="E153" t="s">
        <v>516</v>
      </c>
      <c r="F153" s="14">
        <v>19.525999069213867</v>
      </c>
      <c r="G153" s="4">
        <f>AVERAGE(F153:F156)</f>
        <v>19.55649995803833</v>
      </c>
      <c r="H153" s="7">
        <f>(F153-C156)</f>
        <v>14.023999214172363</v>
      </c>
      <c r="I153" s="6">
        <v>14.023999214172363</v>
      </c>
      <c r="J153" s="1">
        <f>AVERAGE(I153:I156)</f>
        <v>14.044750094413757</v>
      </c>
      <c r="K153" s="1">
        <f>(I153-I149)</f>
        <v>-6.9650015830993652</v>
      </c>
      <c r="L153" s="5">
        <f t="shared" si="15"/>
        <v>124.93220246999351</v>
      </c>
    </row>
    <row r="154" spans="1:12">
      <c r="A154" t="s">
        <v>510</v>
      </c>
      <c r="B154" t="s">
        <v>512</v>
      </c>
      <c r="C154" s="2">
        <v>5.5069999694824219</v>
      </c>
      <c r="D154" s="1"/>
      <c r="E154" t="s">
        <v>516</v>
      </c>
      <c r="F154" s="14">
        <v>19.538999557495117</v>
      </c>
      <c r="G154" s="1"/>
      <c r="H154" s="1">
        <f>(F154-C154)</f>
        <v>14.031999588012695</v>
      </c>
      <c r="I154" s="6">
        <v>14.031999588012695</v>
      </c>
      <c r="J154" s="1"/>
      <c r="K154" s="1">
        <f>(I154-I150)</f>
        <v>-6.1080002784729004</v>
      </c>
      <c r="L154" s="5">
        <f t="shared" si="15"/>
        <v>68.974934596522147</v>
      </c>
    </row>
    <row r="155" spans="1:12">
      <c r="A155" t="s">
        <v>510</v>
      </c>
      <c r="B155" t="s">
        <v>512</v>
      </c>
      <c r="C155" s="2">
        <v>5.5359997749328613</v>
      </c>
      <c r="D155" s="1"/>
      <c r="E155" t="s">
        <v>516</v>
      </c>
      <c r="F155" s="14">
        <v>19.617000579833984</v>
      </c>
      <c r="G155" s="1"/>
      <c r="H155" s="1">
        <f>(F155-C155)</f>
        <v>14.081000804901123</v>
      </c>
      <c r="I155" s="6">
        <v>14.081000804901123</v>
      </c>
      <c r="J155" s="1"/>
      <c r="K155" s="1">
        <f>(I155-I151)</f>
        <v>-6.1479992866516113</v>
      </c>
      <c r="L155" s="5">
        <f t="shared" si="15"/>
        <v>70.914035199517201</v>
      </c>
    </row>
    <row r="156" spans="1:12">
      <c r="A156" t="s">
        <v>510</v>
      </c>
      <c r="B156" t="s">
        <v>512</v>
      </c>
      <c r="C156" s="2">
        <v>5.5019998550415039</v>
      </c>
      <c r="D156" s="1"/>
      <c r="E156" t="s">
        <v>516</v>
      </c>
      <c r="F156" s="14">
        <v>19.544000625610352</v>
      </c>
      <c r="G156" s="1"/>
      <c r="H156" s="1">
        <f>(F156-C156)</f>
        <v>14.042000770568848</v>
      </c>
      <c r="I156" s="6">
        <v>14.042000770568848</v>
      </c>
      <c r="J156" s="1"/>
      <c r="K156" s="1">
        <f>(I156-I152)</f>
        <v>-6.4259982109069824</v>
      </c>
      <c r="L156" s="5">
        <f t="shared" si="15"/>
        <v>85.984112616787698</v>
      </c>
    </row>
    <row r="157" spans="1:12">
      <c r="C157" s="2"/>
      <c r="D157" s="1"/>
      <c r="E157" s="1"/>
      <c r="F157" s="4"/>
      <c r="G157" s="1"/>
      <c r="H157" s="1"/>
      <c r="I157" s="6"/>
      <c r="J157" s="1"/>
      <c r="K157" s="1"/>
      <c r="L157" s="5"/>
    </row>
    <row r="159" spans="1:12">
      <c r="A159" t="s">
        <v>505</v>
      </c>
      <c r="B159" t="s">
        <v>512</v>
      </c>
      <c r="C159" s="2">
        <v>4.6750001907348633</v>
      </c>
      <c r="D159" s="1">
        <f>AVERAGE(C159:C161)</f>
        <v>4.8396666844685869</v>
      </c>
      <c r="E159" t="s">
        <v>502</v>
      </c>
      <c r="F159" s="14">
        <v>23.834999084472656</v>
      </c>
      <c r="G159" s="4">
        <f>AVERAGE(F159:F162)</f>
        <v>23.880999565124512</v>
      </c>
      <c r="H159" s="1">
        <f>(F159-C159)</f>
        <v>19.159998893737793</v>
      </c>
      <c r="I159" s="6">
        <v>19.159998893737793</v>
      </c>
      <c r="J159" s="1">
        <f>AVERAGE(I159:I162)</f>
        <v>18.975749492645264</v>
      </c>
      <c r="K159" s="1">
        <f>(I159-J$2)</f>
        <v>-3.867250919342041</v>
      </c>
      <c r="L159" s="5">
        <f t="shared" ref="L159:L182" si="18">2^(-K159)</f>
        <v>14.593468582539014</v>
      </c>
    </row>
    <row r="160" spans="1:12">
      <c r="A160" t="s">
        <v>505</v>
      </c>
      <c r="B160" t="s">
        <v>512</v>
      </c>
      <c r="C160" s="2">
        <v>4.8499999046325684</v>
      </c>
      <c r="D160" s="1"/>
      <c r="E160" t="s">
        <v>502</v>
      </c>
      <c r="F160" s="14">
        <v>24.150999069213867</v>
      </c>
      <c r="G160" s="1"/>
      <c r="H160" s="1">
        <f>(F160-C160)</f>
        <v>19.300999164581299</v>
      </c>
      <c r="I160" s="6">
        <v>19.300999164581299</v>
      </c>
      <c r="J160" s="1"/>
      <c r="K160" s="1">
        <f>(I160-J$2)</f>
        <v>-3.7262506484985352</v>
      </c>
      <c r="L160" s="5">
        <f t="shared" si="18"/>
        <v>13.234673038490493</v>
      </c>
    </row>
    <row r="161" spans="1:12">
      <c r="A161" t="s">
        <v>505</v>
      </c>
      <c r="B161" t="s">
        <v>512</v>
      </c>
      <c r="C161" s="2">
        <v>4.9939999580383301</v>
      </c>
      <c r="D161" s="1"/>
      <c r="E161" t="s">
        <v>502</v>
      </c>
      <c r="F161" s="14">
        <v>23.541000366210938</v>
      </c>
      <c r="G161" s="1"/>
      <c r="H161" s="1">
        <f>(F161-C161)</f>
        <v>18.547000408172607</v>
      </c>
      <c r="I161" s="6">
        <v>18.547000408172607</v>
      </c>
      <c r="J161" s="1"/>
      <c r="K161" s="1">
        <f>(I161-J$2)</f>
        <v>-4.4802494049072266</v>
      </c>
      <c r="L161" s="5">
        <f t="shared" si="18"/>
        <v>22.319756840631257</v>
      </c>
    </row>
    <row r="162" spans="1:12">
      <c r="A162" t="s">
        <v>505</v>
      </c>
      <c r="B162" t="s">
        <v>512</v>
      </c>
      <c r="C162" s="2">
        <v>5.1020002365112305</v>
      </c>
      <c r="D162" s="1"/>
      <c r="E162" t="s">
        <v>502</v>
      </c>
      <c r="F162" s="14">
        <v>23.996999740600586</v>
      </c>
      <c r="G162" s="1"/>
      <c r="H162" s="1">
        <f>(F162-C162)</f>
        <v>18.894999504089355</v>
      </c>
      <c r="I162" s="6">
        <v>18.894999504089355</v>
      </c>
      <c r="J162" s="1"/>
      <c r="K162" s="1">
        <f>(I162-J$2)</f>
        <v>-4.1322503089904785</v>
      </c>
      <c r="L162" s="5">
        <f t="shared" si="18"/>
        <v>17.536030517560992</v>
      </c>
    </row>
    <row r="163" spans="1:12">
      <c r="A163" t="s">
        <v>506</v>
      </c>
      <c r="B163" t="s">
        <v>512</v>
      </c>
      <c r="C163" s="2">
        <v>5.1760001182556152</v>
      </c>
      <c r="D163" s="1">
        <f>AVERAGE(C163:C165)</f>
        <v>5.3286666870117188</v>
      </c>
      <c r="E163" t="s">
        <v>502</v>
      </c>
      <c r="F163" s="14">
        <v>23.254999160766602</v>
      </c>
      <c r="G163" s="4">
        <f>AVERAGE(F163:F166)</f>
        <v>23.224999904632568</v>
      </c>
      <c r="H163" s="7">
        <f>(F163-C166)</f>
        <v>18.288999080657959</v>
      </c>
      <c r="I163" s="6">
        <v>18.288999080657959</v>
      </c>
      <c r="J163" s="1">
        <f>AVERAGE(I163:I166)</f>
        <v>18.039499878883362</v>
      </c>
      <c r="K163" s="1">
        <f>(I163-I159)</f>
        <v>-0.87099981307983398</v>
      </c>
      <c r="L163" s="5">
        <f t="shared" si="18"/>
        <v>1.8289299420377974</v>
      </c>
    </row>
    <row r="164" spans="1:12">
      <c r="A164" t="s">
        <v>506</v>
      </c>
      <c r="B164" t="s">
        <v>512</v>
      </c>
      <c r="C164" s="2">
        <v>5.4860000610351562</v>
      </c>
      <c r="D164" s="1"/>
      <c r="E164" t="s">
        <v>502</v>
      </c>
      <c r="F164" s="14">
        <v>23.117000579833984</v>
      </c>
      <c r="G164" s="1"/>
      <c r="H164" s="1">
        <f t="shared" ref="H164:H170" si="19">(F164-C164)</f>
        <v>17.631000518798828</v>
      </c>
      <c r="I164" s="6">
        <v>17.631000518798828</v>
      </c>
      <c r="J164" s="1"/>
      <c r="K164" s="1">
        <f>(I164-I160)</f>
        <v>-1.6699986457824707</v>
      </c>
      <c r="L164" s="5">
        <f t="shared" si="18"/>
        <v>3.1821429480295893</v>
      </c>
    </row>
    <row r="165" spans="1:12">
      <c r="A165" t="s">
        <v>506</v>
      </c>
      <c r="B165" t="s">
        <v>512</v>
      </c>
      <c r="C165" s="2">
        <v>5.3239998817443848</v>
      </c>
      <c r="D165" s="1"/>
      <c r="E165" t="s">
        <v>502</v>
      </c>
      <c r="F165" s="14">
        <v>23.118999481201172</v>
      </c>
      <c r="G165" s="1"/>
      <c r="H165" s="1">
        <f t="shared" si="19"/>
        <v>17.794999599456787</v>
      </c>
      <c r="I165" s="6">
        <v>17.794999599456787</v>
      </c>
      <c r="J165" s="1"/>
      <c r="K165" s="1">
        <f>(I165-I161)</f>
        <v>-0.75200080871582031</v>
      </c>
      <c r="L165" s="5">
        <f t="shared" si="18"/>
        <v>1.6841268512691838</v>
      </c>
    </row>
    <row r="166" spans="1:12">
      <c r="A166" t="s">
        <v>506</v>
      </c>
      <c r="B166" t="s">
        <v>512</v>
      </c>
      <c r="C166" s="2">
        <v>4.9660000801086426</v>
      </c>
      <c r="D166" s="1"/>
      <c r="E166" t="s">
        <v>502</v>
      </c>
      <c r="F166" s="14">
        <v>23.409000396728516</v>
      </c>
      <c r="G166" s="1"/>
      <c r="H166" s="1">
        <f t="shared" si="19"/>
        <v>18.443000316619873</v>
      </c>
      <c r="I166" s="6">
        <v>18.443000316619873</v>
      </c>
      <c r="J166" s="1"/>
      <c r="K166" s="1">
        <f>(I166-I162)</f>
        <v>-0.45199918746948242</v>
      </c>
      <c r="L166" s="5">
        <f t="shared" si="18"/>
        <v>1.3679345334771162</v>
      </c>
    </row>
    <row r="167" spans="1:12">
      <c r="A167" t="s">
        <v>507</v>
      </c>
      <c r="B167" t="s">
        <v>512</v>
      </c>
      <c r="C167" s="2">
        <v>5.6570000648498535</v>
      </c>
      <c r="D167" s="1">
        <f>AVERAGE(C167:C169)</f>
        <v>5.5983333587646484</v>
      </c>
      <c r="E167" t="s">
        <v>502</v>
      </c>
      <c r="F167" s="14">
        <v>24.295999526977539</v>
      </c>
      <c r="G167" s="4">
        <f>AVERAGE(F167:F170)</f>
        <v>23.775750160217285</v>
      </c>
      <c r="H167" s="1">
        <f t="shared" si="19"/>
        <v>18.638999462127686</v>
      </c>
      <c r="I167" s="6">
        <v>18.638999462127686</v>
      </c>
      <c r="J167" s="1">
        <f>AVERAGE(I167:I170)</f>
        <v>18.245250105857849</v>
      </c>
      <c r="K167" s="1">
        <f>(I167-J$2)</f>
        <v>-4.3882503509521484</v>
      </c>
      <c r="L167" s="5">
        <f t="shared" si="18"/>
        <v>20.940882700566299</v>
      </c>
    </row>
    <row r="168" spans="1:12">
      <c r="A168" t="s">
        <v>507</v>
      </c>
      <c r="B168" t="s">
        <v>512</v>
      </c>
      <c r="C168" s="2">
        <v>5.5269999504089355</v>
      </c>
      <c r="D168" s="1"/>
      <c r="E168" t="s">
        <v>502</v>
      </c>
      <c r="F168" s="14">
        <v>24.200000762939453</v>
      </c>
      <c r="G168" s="1"/>
      <c r="H168" s="1">
        <f t="shared" si="19"/>
        <v>18.673000812530518</v>
      </c>
      <c r="I168" s="6">
        <v>18.673000812530518</v>
      </c>
      <c r="J168" s="1"/>
      <c r="K168" s="1">
        <f>(I168-J$2)</f>
        <v>-4.3542490005493164</v>
      </c>
      <c r="L168" s="5">
        <f t="shared" si="18"/>
        <v>20.453119592940801</v>
      </c>
    </row>
    <row r="169" spans="1:12">
      <c r="A169" t="s">
        <v>507</v>
      </c>
      <c r="B169" t="s">
        <v>512</v>
      </c>
      <c r="C169" s="2">
        <v>5.6110000610351562</v>
      </c>
      <c r="D169" s="1"/>
      <c r="E169" t="s">
        <v>502</v>
      </c>
      <c r="F169" s="14">
        <v>23.496000289916992</v>
      </c>
      <c r="G169" s="1"/>
      <c r="H169" s="1">
        <f t="shared" si="19"/>
        <v>17.885000228881836</v>
      </c>
      <c r="I169" s="6">
        <v>17.885000228881836</v>
      </c>
      <c r="J169" s="1"/>
      <c r="K169" s="1">
        <f>(I169-J$2)</f>
        <v>-5.142249584197998</v>
      </c>
      <c r="L169" s="5">
        <f t="shared" si="18"/>
        <v>35.315988768915432</v>
      </c>
    </row>
    <row r="170" spans="1:12">
      <c r="A170" t="s">
        <v>507</v>
      </c>
      <c r="B170" t="s">
        <v>512</v>
      </c>
      <c r="C170" s="2">
        <v>5.3270001411437988</v>
      </c>
      <c r="D170" s="1"/>
      <c r="E170" t="s">
        <v>502</v>
      </c>
      <c r="F170" s="14">
        <v>23.111000061035156</v>
      </c>
      <c r="G170" s="1"/>
      <c r="H170" s="1">
        <f t="shared" si="19"/>
        <v>17.783999919891357</v>
      </c>
      <c r="I170" s="6">
        <v>17.783999919891357</v>
      </c>
      <c r="J170" s="1"/>
      <c r="K170" s="1">
        <f>(I170-J$2)</f>
        <v>-5.2432498931884766</v>
      </c>
      <c r="L170" s="5">
        <f t="shared" si="18"/>
        <v>37.876992906355014</v>
      </c>
    </row>
    <row r="171" spans="1:12">
      <c r="A171" t="s">
        <v>511</v>
      </c>
      <c r="B171" t="s">
        <v>512</v>
      </c>
      <c r="C171" s="2">
        <v>5.7940001487731934</v>
      </c>
      <c r="D171" s="1">
        <f>AVERAGE(C171:C173)</f>
        <v>5.9340001742045088</v>
      </c>
      <c r="E171" t="s">
        <v>502</v>
      </c>
      <c r="F171" s="14">
        <v>22.742000579833984</v>
      </c>
      <c r="G171" s="4">
        <f>AVERAGE(F171:F174)</f>
        <v>23.205749988555908</v>
      </c>
      <c r="H171" s="7">
        <f>(F171-C174)</f>
        <v>16.758000373840332</v>
      </c>
      <c r="I171" s="6">
        <v>16.758000373840332</v>
      </c>
      <c r="J171" s="1">
        <f>AVERAGE(I171:I174)</f>
        <v>17.211749792098999</v>
      </c>
      <c r="K171" s="1">
        <f>(I171-I167)</f>
        <v>-1.8809990882873535</v>
      </c>
      <c r="L171" s="5">
        <f t="shared" si="18"/>
        <v>3.6833004611538285</v>
      </c>
    </row>
    <row r="172" spans="1:12">
      <c r="A172" t="s">
        <v>511</v>
      </c>
      <c r="B172" t="s">
        <v>512</v>
      </c>
      <c r="C172" s="2">
        <v>6.0300002098083496</v>
      </c>
      <c r="D172" s="1"/>
      <c r="E172" t="s">
        <v>502</v>
      </c>
      <c r="F172" s="14">
        <v>24.049999237060547</v>
      </c>
      <c r="G172" s="1"/>
      <c r="H172" s="1">
        <f t="shared" ref="H172:H178" si="20">(F172-C172)</f>
        <v>18.019999027252197</v>
      </c>
      <c r="I172" s="6">
        <v>18.019999027252197</v>
      </c>
      <c r="J172" s="1"/>
      <c r="K172" s="1">
        <f>(I172-I168)</f>
        <v>-0.65300178527832031</v>
      </c>
      <c r="L172" s="5">
        <f t="shared" si="18"/>
        <v>1.5724365301077654</v>
      </c>
    </row>
    <row r="173" spans="1:12">
      <c r="A173" t="s">
        <v>511</v>
      </c>
      <c r="B173" t="s">
        <v>512</v>
      </c>
      <c r="C173" s="2">
        <v>5.9780001640319824</v>
      </c>
      <c r="D173" s="1"/>
      <c r="E173" t="s">
        <v>502</v>
      </c>
      <c r="F173" s="14">
        <v>22.141000747680664</v>
      </c>
      <c r="G173" s="1"/>
      <c r="H173" s="1">
        <f t="shared" si="20"/>
        <v>16.163000583648682</v>
      </c>
      <c r="I173" s="6">
        <v>16.163000583648682</v>
      </c>
      <c r="J173" s="1"/>
      <c r="K173" s="1">
        <f>(I173-I169)</f>
        <v>-1.7219996452331543</v>
      </c>
      <c r="L173" s="5">
        <f t="shared" si="18"/>
        <v>3.2989333832139049</v>
      </c>
    </row>
    <row r="174" spans="1:12">
      <c r="A174" t="s">
        <v>511</v>
      </c>
      <c r="B174" t="s">
        <v>512</v>
      </c>
      <c r="C174" s="2">
        <v>5.9840002059936523</v>
      </c>
      <c r="D174" s="1"/>
      <c r="E174" t="s">
        <v>502</v>
      </c>
      <c r="F174" s="14">
        <v>23.889999389648438</v>
      </c>
      <c r="G174" s="1"/>
      <c r="H174" s="1">
        <f t="shared" si="20"/>
        <v>17.905999183654785</v>
      </c>
      <c r="I174" s="6">
        <v>17.905999183654785</v>
      </c>
      <c r="J174" s="1"/>
      <c r="K174" s="1">
        <f>(I174-I170)</f>
        <v>0.12199926376342773</v>
      </c>
      <c r="L174" s="5">
        <f t="shared" si="18"/>
        <v>0.91891335241907179</v>
      </c>
    </row>
    <row r="175" spans="1:12">
      <c r="A175" t="s">
        <v>509</v>
      </c>
      <c r="B175" t="s">
        <v>512</v>
      </c>
      <c r="C175" s="2">
        <v>5.1279997825622559</v>
      </c>
      <c r="D175" s="1">
        <f>AVERAGE(C175:C177)</f>
        <v>5.4499998092651367</v>
      </c>
      <c r="E175" t="s">
        <v>502</v>
      </c>
      <c r="F175" s="14">
        <v>22.270000457763672</v>
      </c>
      <c r="G175" s="4">
        <f>AVERAGE(F175:F178)</f>
        <v>22.777500152587891</v>
      </c>
      <c r="H175" s="1">
        <f t="shared" si="20"/>
        <v>17.142000675201416</v>
      </c>
      <c r="I175" s="6">
        <v>17.142000675201416</v>
      </c>
      <c r="J175" s="1">
        <f>AVERAGE(I175:I178)</f>
        <v>17.416000247001648</v>
      </c>
      <c r="K175" s="1">
        <f>(I175-J$2)</f>
        <v>-5.885249137878418</v>
      </c>
      <c r="L175" s="5">
        <f t="shared" si="18"/>
        <v>59.106674090732291</v>
      </c>
    </row>
    <row r="176" spans="1:12">
      <c r="A176" t="s">
        <v>509</v>
      </c>
      <c r="B176" t="s">
        <v>512</v>
      </c>
      <c r="C176" s="2">
        <v>5.554999828338623</v>
      </c>
      <c r="D176" s="1"/>
      <c r="E176" t="s">
        <v>502</v>
      </c>
      <c r="F176" s="14">
        <v>22.666000366210938</v>
      </c>
      <c r="G176" s="1"/>
      <c r="H176" s="1">
        <f t="shared" si="20"/>
        <v>17.111000537872314</v>
      </c>
      <c r="I176" s="6">
        <v>17.111000537872314</v>
      </c>
      <c r="J176" s="1"/>
      <c r="K176" s="1">
        <f>(I176-J$2)</f>
        <v>-5.9162492752075195</v>
      </c>
      <c r="L176" s="5">
        <f t="shared" si="18"/>
        <v>60.390481689476438</v>
      </c>
    </row>
    <row r="177" spans="1:12">
      <c r="A177" t="s">
        <v>509</v>
      </c>
      <c r="B177" t="s">
        <v>512</v>
      </c>
      <c r="C177" s="2">
        <v>5.6669998168945312</v>
      </c>
      <c r="D177" s="1"/>
      <c r="E177" t="s">
        <v>502</v>
      </c>
      <c r="F177" s="14">
        <v>22.736000061035156</v>
      </c>
      <c r="G177" s="1"/>
      <c r="H177" s="1">
        <f t="shared" si="20"/>
        <v>17.069000244140625</v>
      </c>
      <c r="I177" s="6">
        <v>17.069000244140625</v>
      </c>
      <c r="J177" s="1"/>
      <c r="K177" s="1">
        <f>(I177-J$2)</f>
        <v>-5.958249568939209</v>
      </c>
      <c r="L177" s="5">
        <f t="shared" si="18"/>
        <v>62.174434215872346</v>
      </c>
    </row>
    <row r="178" spans="1:12">
      <c r="A178" t="s">
        <v>509</v>
      </c>
      <c r="B178" t="s">
        <v>512</v>
      </c>
      <c r="C178" s="2">
        <v>5.0960001945495605</v>
      </c>
      <c r="D178" s="1"/>
      <c r="E178" t="s">
        <v>502</v>
      </c>
      <c r="F178" s="14">
        <v>23.437999725341797</v>
      </c>
      <c r="G178" s="1"/>
      <c r="H178" s="1">
        <f t="shared" si="20"/>
        <v>18.341999530792236</v>
      </c>
      <c r="I178" s="6">
        <v>18.341999530792236</v>
      </c>
      <c r="J178" s="1"/>
      <c r="K178" s="1">
        <f>(I178-J$2)</f>
        <v>-4.6852502822875977</v>
      </c>
      <c r="L178" s="5">
        <f t="shared" si="18"/>
        <v>25.727694620454912</v>
      </c>
    </row>
    <row r="179" spans="1:12">
      <c r="A179" t="s">
        <v>510</v>
      </c>
      <c r="B179" t="s">
        <v>512</v>
      </c>
      <c r="C179" s="2">
        <v>5.5130000114440918</v>
      </c>
      <c r="D179" s="1">
        <f>AVERAGE(C179:C181)</f>
        <v>5.518666585286458</v>
      </c>
      <c r="E179" t="s">
        <v>502</v>
      </c>
      <c r="F179" s="14">
        <v>24.121000289916992</v>
      </c>
      <c r="G179" s="4">
        <f>AVERAGE(F179:F182)</f>
        <v>27.125750541687012</v>
      </c>
      <c r="H179" s="7">
        <f>(F179-C182)</f>
        <v>18.619000434875488</v>
      </c>
      <c r="I179" s="6">
        <v>18.619000434875488</v>
      </c>
      <c r="J179" s="1">
        <f>AVERAGE(I179:I182)</f>
        <v>21.614000678062439</v>
      </c>
      <c r="K179" s="1">
        <f>(I179-I175)</f>
        <v>1.4769997596740723</v>
      </c>
      <c r="L179" s="5">
        <f t="shared" si="18"/>
        <v>0.35923510397783964</v>
      </c>
    </row>
    <row r="180" spans="1:12">
      <c r="A180" t="s">
        <v>510</v>
      </c>
      <c r="B180" t="s">
        <v>512</v>
      </c>
      <c r="C180" s="2">
        <v>5.5069999694824219</v>
      </c>
      <c r="D180" s="1"/>
      <c r="E180" t="s">
        <v>502</v>
      </c>
      <c r="F180" s="14">
        <v>35.212001800537109</v>
      </c>
      <c r="G180" s="1"/>
      <c r="H180" s="1">
        <f>(F180-C180)</f>
        <v>29.705001831054688</v>
      </c>
      <c r="I180" s="6">
        <v>29.705001831054688</v>
      </c>
      <c r="J180" s="1"/>
      <c r="K180" s="1">
        <f>(I180-I176)</f>
        <v>12.594001293182373</v>
      </c>
      <c r="L180" s="5">
        <f t="shared" si="18"/>
        <v>1.6174387565367153E-4</v>
      </c>
    </row>
    <row r="181" spans="1:12">
      <c r="A181" t="s">
        <v>510</v>
      </c>
      <c r="B181" t="s">
        <v>512</v>
      </c>
      <c r="C181" s="2">
        <v>5.5359997749328613</v>
      </c>
      <c r="D181" s="1"/>
      <c r="E181" t="s">
        <v>502</v>
      </c>
      <c r="F181" s="14">
        <v>24.26099967956543</v>
      </c>
      <c r="G181" s="1"/>
      <c r="H181" s="1">
        <f>(F181-C181)</f>
        <v>18.724999904632568</v>
      </c>
      <c r="I181" s="6">
        <v>18.724999904632568</v>
      </c>
      <c r="J181" s="1"/>
      <c r="K181" s="1">
        <f>(I181-I177)</f>
        <v>1.6559996604919434</v>
      </c>
      <c r="L181" s="5">
        <f t="shared" si="18"/>
        <v>0.31731779617903871</v>
      </c>
    </row>
    <row r="182" spans="1:12">
      <c r="A182" t="s">
        <v>510</v>
      </c>
      <c r="B182" t="s">
        <v>512</v>
      </c>
      <c r="C182" s="2">
        <v>5.5019998550415039</v>
      </c>
      <c r="D182" s="1"/>
      <c r="E182" t="s">
        <v>502</v>
      </c>
      <c r="F182" s="14">
        <v>24.909000396728516</v>
      </c>
      <c r="G182" s="1"/>
      <c r="H182" s="1">
        <f>(F182-C182)</f>
        <v>19.407000541687012</v>
      </c>
      <c r="I182" s="6">
        <v>19.407000541687012</v>
      </c>
      <c r="J182" s="1"/>
      <c r="K182" s="1">
        <f>(I182-I178)</f>
        <v>1.0650010108947754</v>
      </c>
      <c r="L182" s="5">
        <f t="shared" si="18"/>
        <v>0.47797232388208966</v>
      </c>
    </row>
    <row r="183" spans="1:12">
      <c r="A183" s="4"/>
      <c r="B183" s="1"/>
      <c r="C183" s="2"/>
      <c r="D183" s="1"/>
      <c r="E183" s="1"/>
      <c r="F183" s="8"/>
      <c r="G183" s="1"/>
      <c r="H183" s="1"/>
      <c r="I183" s="6"/>
      <c r="J183" s="1"/>
      <c r="K183" s="1"/>
      <c r="L183" s="5"/>
    </row>
    <row r="185" spans="1:12">
      <c r="A185" t="s">
        <v>505</v>
      </c>
      <c r="B185" t="s">
        <v>512</v>
      </c>
      <c r="C185" s="2">
        <v>4.6750001907348633</v>
      </c>
      <c r="D185" s="1">
        <f>AVERAGE(C185:C187)</f>
        <v>4.8396666844685869</v>
      </c>
      <c r="E185" t="s">
        <v>517</v>
      </c>
      <c r="F185" s="14">
        <v>19.705999374389648</v>
      </c>
      <c r="G185" s="4">
        <f>AVERAGE(F185:F188)</f>
        <v>23.622000217437744</v>
      </c>
      <c r="H185" s="1">
        <f>(F185-C185)</f>
        <v>15.030999183654785</v>
      </c>
      <c r="I185" s="6">
        <v>15.030999183654785</v>
      </c>
      <c r="J185" s="1">
        <f>AVERAGE(I185:I188)</f>
        <v>18.716750144958496</v>
      </c>
      <c r="K185" s="1">
        <f>(I185-J$2)</f>
        <v>-7.9962506294250488</v>
      </c>
      <c r="L185" s="5">
        <f t="shared" ref="L185:L208" si="21">2^(-K185)</f>
        <v>255.33555417211176</v>
      </c>
    </row>
    <row r="186" spans="1:12">
      <c r="A186" t="s">
        <v>505</v>
      </c>
      <c r="B186" t="s">
        <v>512</v>
      </c>
      <c r="C186" s="2">
        <v>4.8499999046325684</v>
      </c>
      <c r="D186" s="1"/>
      <c r="E186" t="s">
        <v>517</v>
      </c>
      <c r="F186" s="14">
        <v>19.655000686645508</v>
      </c>
      <c r="G186" s="1"/>
      <c r="H186" s="1">
        <f>(F186-C186)</f>
        <v>14.805000782012939</v>
      </c>
      <c r="I186" s="6">
        <v>14.805000782012939</v>
      </c>
      <c r="J186" s="1"/>
      <c r="K186" s="1">
        <f>(I186-J$2)</f>
        <v>-8.2222490310668945</v>
      </c>
      <c r="L186" s="5">
        <f t="shared" si="21"/>
        <v>298.63698349423447</v>
      </c>
    </row>
    <row r="187" spans="1:12">
      <c r="A187" t="s">
        <v>505</v>
      </c>
      <c r="B187" t="s">
        <v>512</v>
      </c>
      <c r="C187" s="2">
        <v>4.9939999580383301</v>
      </c>
      <c r="D187" s="1"/>
      <c r="E187" t="s">
        <v>517</v>
      </c>
      <c r="F187" s="14">
        <v>19.448999404907227</v>
      </c>
      <c r="G187" s="1"/>
      <c r="H187" s="1">
        <f>(F187-C187)</f>
        <v>14.454999446868896</v>
      </c>
      <c r="I187" s="6">
        <v>14.454999446868896</v>
      </c>
      <c r="J187" s="1"/>
      <c r="K187" s="1">
        <f>(I187-J$2)</f>
        <v>-8.5722503662109375</v>
      </c>
      <c r="L187" s="5">
        <f t="shared" si="21"/>
        <v>380.63129327871701</v>
      </c>
    </row>
    <row r="188" spans="1:12">
      <c r="A188" t="s">
        <v>505</v>
      </c>
      <c r="B188" t="s">
        <v>512</v>
      </c>
      <c r="C188" s="2">
        <v>5.1020002365112305</v>
      </c>
      <c r="D188" s="1"/>
      <c r="E188" t="s">
        <v>517</v>
      </c>
      <c r="F188" s="14">
        <v>35.678001403808594</v>
      </c>
      <c r="G188" s="1"/>
      <c r="H188" s="1">
        <f>(F188-C188)</f>
        <v>30.576001167297363</v>
      </c>
      <c r="I188" s="6">
        <v>30.576001167297363</v>
      </c>
      <c r="J188" s="1"/>
      <c r="K188" s="1">
        <f>(I188-J$2)</f>
        <v>7.5487513542175293</v>
      </c>
      <c r="L188" s="5">
        <f t="shared" si="21"/>
        <v>5.3407151170586009E-3</v>
      </c>
    </row>
    <row r="189" spans="1:12">
      <c r="A189" t="s">
        <v>506</v>
      </c>
      <c r="B189" t="s">
        <v>512</v>
      </c>
      <c r="C189" s="2">
        <v>5.1760001182556152</v>
      </c>
      <c r="D189" s="1">
        <f>AVERAGE(C189:C191)</f>
        <v>5.3286666870117188</v>
      </c>
      <c r="E189" t="s">
        <v>517</v>
      </c>
      <c r="F189" s="14">
        <v>18.691999435424805</v>
      </c>
      <c r="G189" s="4">
        <f>AVERAGE(F189:F192)</f>
        <v>18.559999942779541</v>
      </c>
      <c r="H189" s="7">
        <f>(F189-C192)</f>
        <v>13.725999355316162</v>
      </c>
      <c r="I189" s="6">
        <v>13.725999355316162</v>
      </c>
      <c r="J189" s="1">
        <f>AVERAGE(I189:I192)</f>
        <v>13.374499917030334</v>
      </c>
      <c r="K189" s="1">
        <f>(I189-I185)</f>
        <v>-1.304999828338623</v>
      </c>
      <c r="L189" s="5">
        <f t="shared" si="21"/>
        <v>2.4708369802573507</v>
      </c>
    </row>
    <row r="190" spans="1:12">
      <c r="A190" t="s">
        <v>506</v>
      </c>
      <c r="B190" t="s">
        <v>512</v>
      </c>
      <c r="C190" s="2">
        <v>5.4860000610351562</v>
      </c>
      <c r="D190" s="1"/>
      <c r="E190" t="s">
        <v>517</v>
      </c>
      <c r="F190" s="14">
        <v>18.882999420166016</v>
      </c>
      <c r="G190" s="1"/>
      <c r="H190" s="1">
        <f t="shared" ref="H190:H196" si="22">(F190-C190)</f>
        <v>13.396999359130859</v>
      </c>
      <c r="I190" s="6">
        <v>13.396999359130859</v>
      </c>
      <c r="J190" s="1"/>
      <c r="K190" s="1">
        <f>(I190-I186)</f>
        <v>-1.4080014228820801</v>
      </c>
      <c r="L190" s="5">
        <f t="shared" si="21"/>
        <v>2.6536928984419759</v>
      </c>
    </row>
    <row r="191" spans="1:12">
      <c r="A191" t="s">
        <v>506</v>
      </c>
      <c r="B191" t="s">
        <v>512</v>
      </c>
      <c r="C191" s="2">
        <v>5.3239998817443848</v>
      </c>
      <c r="D191" s="1"/>
      <c r="E191" t="s">
        <v>517</v>
      </c>
      <c r="F191" s="14">
        <v>18.006999969482422</v>
      </c>
      <c r="G191" s="1"/>
      <c r="H191" s="1">
        <f t="shared" si="22"/>
        <v>12.683000087738037</v>
      </c>
      <c r="I191" s="6">
        <v>12.683000087738037</v>
      </c>
      <c r="J191" s="1"/>
      <c r="K191" s="1">
        <f>(I191-I187)</f>
        <v>-1.7719993591308594</v>
      </c>
      <c r="L191" s="5">
        <f t="shared" si="21"/>
        <v>3.4152693404451786</v>
      </c>
    </row>
    <row r="192" spans="1:12">
      <c r="A192" t="s">
        <v>506</v>
      </c>
      <c r="B192" t="s">
        <v>512</v>
      </c>
      <c r="C192" s="2">
        <v>4.9660000801086426</v>
      </c>
      <c r="D192" s="1"/>
      <c r="E192" t="s">
        <v>517</v>
      </c>
      <c r="F192" s="14">
        <v>18.658000946044922</v>
      </c>
      <c r="G192" s="1"/>
      <c r="H192" s="1">
        <f t="shared" si="22"/>
        <v>13.692000865936279</v>
      </c>
      <c r="I192" s="6">
        <v>13.692000865936279</v>
      </c>
      <c r="J192" s="1"/>
      <c r="K192" s="1">
        <f>(I192-I188)</f>
        <v>-16.884000301361084</v>
      </c>
      <c r="L192" s="5">
        <f t="shared" si="21"/>
        <v>120945.72926117742</v>
      </c>
    </row>
    <row r="193" spans="1:12">
      <c r="A193" t="s">
        <v>507</v>
      </c>
      <c r="B193" t="s">
        <v>512</v>
      </c>
      <c r="C193" s="2">
        <v>5.6570000648498535</v>
      </c>
      <c r="D193" s="1">
        <f>AVERAGE(C193:C195)</f>
        <v>5.5983333587646484</v>
      </c>
      <c r="E193" t="s">
        <v>517</v>
      </c>
      <c r="F193" s="14">
        <v>19.093999862670898</v>
      </c>
      <c r="G193" s="4">
        <f>AVERAGE(F193:F196)</f>
        <v>19.168999671936035</v>
      </c>
      <c r="H193" s="1">
        <f t="shared" si="22"/>
        <v>13.436999797821045</v>
      </c>
      <c r="I193" s="6">
        <v>13.436999797821045</v>
      </c>
      <c r="J193" s="1">
        <f>AVERAGE(I193:I196)</f>
        <v>13.638499617576599</v>
      </c>
      <c r="K193" s="1">
        <f>(I193-J$2)</f>
        <v>-9.5902500152587891</v>
      </c>
      <c r="L193" s="5">
        <f t="shared" si="21"/>
        <v>770.8199041639773</v>
      </c>
    </row>
    <row r="194" spans="1:12">
      <c r="A194" t="s">
        <v>507</v>
      </c>
      <c r="B194" t="s">
        <v>512</v>
      </c>
      <c r="C194" s="2">
        <v>5.5269999504089355</v>
      </c>
      <c r="D194" s="1"/>
      <c r="E194" t="s">
        <v>517</v>
      </c>
      <c r="F194" s="14">
        <v>18.86199951171875</v>
      </c>
      <c r="G194" s="1"/>
      <c r="H194" s="1">
        <f t="shared" si="22"/>
        <v>13.334999561309814</v>
      </c>
      <c r="I194" s="6">
        <v>13.334999561309814</v>
      </c>
      <c r="J194" s="1"/>
      <c r="K194" s="1">
        <f>(I194-J$2)</f>
        <v>-9.6922502517700195</v>
      </c>
      <c r="L194" s="5">
        <f t="shared" si="21"/>
        <v>827.29052672439741</v>
      </c>
    </row>
    <row r="195" spans="1:12">
      <c r="A195" t="s">
        <v>507</v>
      </c>
      <c r="B195" t="s">
        <v>512</v>
      </c>
      <c r="C195" s="2">
        <v>5.6110000610351562</v>
      </c>
      <c r="D195" s="1"/>
      <c r="E195" t="s">
        <v>517</v>
      </c>
      <c r="F195" s="14">
        <v>19.326000213623047</v>
      </c>
      <c r="G195" s="1"/>
      <c r="H195" s="1">
        <f t="shared" si="22"/>
        <v>13.715000152587891</v>
      </c>
      <c r="I195" s="6">
        <v>13.715000152587891</v>
      </c>
      <c r="J195" s="1"/>
      <c r="K195" s="1">
        <f>(I195-J$2)</f>
        <v>-9.3122496604919434</v>
      </c>
      <c r="L195" s="5">
        <f t="shared" si="21"/>
        <v>635.7208785730719</v>
      </c>
    </row>
    <row r="196" spans="1:12">
      <c r="A196" t="s">
        <v>507</v>
      </c>
      <c r="B196" t="s">
        <v>512</v>
      </c>
      <c r="C196" s="2">
        <v>5.3270001411437988</v>
      </c>
      <c r="D196" s="1"/>
      <c r="E196" t="s">
        <v>517</v>
      </c>
      <c r="F196" s="14">
        <v>19.393999099731445</v>
      </c>
      <c r="G196" s="1"/>
      <c r="H196" s="1">
        <f t="shared" si="22"/>
        <v>14.066998958587646</v>
      </c>
      <c r="I196" s="6">
        <v>14.066998958587646</v>
      </c>
      <c r="J196" s="1"/>
      <c r="K196" s="1">
        <f>(I196-J$2)</f>
        <v>-8.9602508544921875</v>
      </c>
      <c r="L196" s="5">
        <f t="shared" si="21"/>
        <v>498.08593227162942</v>
      </c>
    </row>
    <row r="197" spans="1:12">
      <c r="A197" t="s">
        <v>511</v>
      </c>
      <c r="B197" t="s">
        <v>512</v>
      </c>
      <c r="C197" s="2">
        <v>5.7940001487731934</v>
      </c>
      <c r="D197" s="1">
        <f>AVERAGE(C197:C199)</f>
        <v>5.9340001742045088</v>
      </c>
      <c r="E197" t="s">
        <v>517</v>
      </c>
      <c r="F197" s="14">
        <v>17.986000061035156</v>
      </c>
      <c r="G197" s="4">
        <f>AVERAGE(F197:F200)</f>
        <v>18.378749847412109</v>
      </c>
      <c r="H197" s="7">
        <f>(F197-C200)</f>
        <v>12.001999855041504</v>
      </c>
      <c r="I197" s="6">
        <v>12.001999855041504</v>
      </c>
      <c r="J197" s="1">
        <f>AVERAGE(I197:I200)</f>
        <v>12.3847496509552</v>
      </c>
      <c r="K197" s="1">
        <f>(I197-I193)</f>
        <v>-1.434999942779541</v>
      </c>
      <c r="L197" s="5">
        <f t="shared" si="21"/>
        <v>2.7038215588167387</v>
      </c>
    </row>
    <row r="198" spans="1:12">
      <c r="A198" t="s">
        <v>511</v>
      </c>
      <c r="B198" t="s">
        <v>512</v>
      </c>
      <c r="C198" s="2">
        <v>6.0300002098083496</v>
      </c>
      <c r="D198" s="1"/>
      <c r="E198" t="s">
        <v>517</v>
      </c>
      <c r="F198" s="14">
        <v>17.98699951171875</v>
      </c>
      <c r="G198" s="1"/>
      <c r="H198" s="1">
        <f t="shared" ref="H198:H204" si="23">(F198-C198)</f>
        <v>11.9569993019104</v>
      </c>
      <c r="I198" s="6">
        <v>11.9569993019104</v>
      </c>
      <c r="J198" s="1"/>
      <c r="K198" s="1">
        <f>(I198-I194)</f>
        <v>-1.3780002593994141</v>
      </c>
      <c r="L198" s="5">
        <f t="shared" si="21"/>
        <v>2.599078592230295</v>
      </c>
    </row>
    <row r="199" spans="1:12">
      <c r="A199" t="s">
        <v>511</v>
      </c>
      <c r="B199" t="s">
        <v>512</v>
      </c>
      <c r="C199" s="2">
        <v>5.9780001640319824</v>
      </c>
      <c r="D199" s="1"/>
      <c r="E199" t="s">
        <v>517</v>
      </c>
      <c r="F199" s="14">
        <v>17.864999771118164</v>
      </c>
      <c r="G199" s="1"/>
      <c r="H199" s="1">
        <f t="shared" si="23"/>
        <v>11.886999607086182</v>
      </c>
      <c r="I199" s="6">
        <v>11.886999607086182</v>
      </c>
      <c r="J199" s="1"/>
      <c r="K199" s="1">
        <f>(I199-I195)</f>
        <v>-1.828000545501709</v>
      </c>
      <c r="L199" s="5">
        <f t="shared" si="21"/>
        <v>3.5504466915476862</v>
      </c>
    </row>
    <row r="200" spans="1:12">
      <c r="A200" t="s">
        <v>511</v>
      </c>
      <c r="B200" t="s">
        <v>512</v>
      </c>
      <c r="C200" s="2">
        <v>5.9840002059936523</v>
      </c>
      <c r="D200" s="1"/>
      <c r="E200" t="s">
        <v>517</v>
      </c>
      <c r="F200" s="14">
        <v>19.677000045776367</v>
      </c>
      <c r="G200" s="1"/>
      <c r="H200" s="1">
        <f t="shared" si="23"/>
        <v>13.692999839782715</v>
      </c>
      <c r="I200" s="6">
        <v>13.692999839782715</v>
      </c>
      <c r="J200" s="1"/>
      <c r="K200" s="1">
        <f>(I200-I196)</f>
        <v>-0.37399911880493164</v>
      </c>
      <c r="L200" s="5">
        <f t="shared" si="21"/>
        <v>1.2959401738755847</v>
      </c>
    </row>
    <row r="201" spans="1:12">
      <c r="A201" t="s">
        <v>509</v>
      </c>
      <c r="B201" t="s">
        <v>512</v>
      </c>
      <c r="C201" s="2">
        <v>5.1279997825622559</v>
      </c>
      <c r="D201" s="1">
        <f>AVERAGE(C201:C203)</f>
        <v>5.4499998092651367</v>
      </c>
      <c r="E201" t="s">
        <v>517</v>
      </c>
      <c r="F201" s="14">
        <v>18.131000518798828</v>
      </c>
      <c r="G201" s="4">
        <f>AVERAGE(F201:F204)</f>
        <v>18.509500503540039</v>
      </c>
      <c r="H201" s="1">
        <f t="shared" si="23"/>
        <v>13.003000736236572</v>
      </c>
      <c r="I201" s="6">
        <v>13.003000736236572</v>
      </c>
      <c r="J201" s="1">
        <f>AVERAGE(I201:I204)</f>
        <v>13.148000597953796</v>
      </c>
      <c r="K201" s="1">
        <f>(I201-J$2)</f>
        <v>-10.024249076843262</v>
      </c>
      <c r="L201" s="5">
        <f t="shared" si="21"/>
        <v>1041.3570370083785</v>
      </c>
    </row>
    <row r="202" spans="1:12">
      <c r="A202" t="s">
        <v>509</v>
      </c>
      <c r="B202" t="s">
        <v>512</v>
      </c>
      <c r="C202" s="2">
        <v>5.554999828338623</v>
      </c>
      <c r="D202" s="1"/>
      <c r="E202" t="s">
        <v>517</v>
      </c>
      <c r="F202" s="14">
        <v>18.641000747680664</v>
      </c>
      <c r="G202" s="1"/>
      <c r="H202" s="1">
        <f t="shared" si="23"/>
        <v>13.086000919342041</v>
      </c>
      <c r="I202" s="6">
        <v>13.086000919342041</v>
      </c>
      <c r="J202" s="1"/>
      <c r="K202" s="1">
        <f>(I202-J$2)</f>
        <v>-9.941248893737793</v>
      </c>
      <c r="L202" s="5">
        <f t="shared" si="21"/>
        <v>983.13715948954496</v>
      </c>
    </row>
    <row r="203" spans="1:12">
      <c r="A203" t="s">
        <v>509</v>
      </c>
      <c r="B203" t="s">
        <v>512</v>
      </c>
      <c r="C203" s="2">
        <v>5.6669998168945312</v>
      </c>
      <c r="D203" s="1"/>
      <c r="E203" t="s">
        <v>517</v>
      </c>
      <c r="F203" s="14">
        <v>18.496000289916992</v>
      </c>
      <c r="G203" s="1"/>
      <c r="H203" s="1">
        <f t="shared" si="23"/>
        <v>12.829000473022461</v>
      </c>
      <c r="I203" s="6">
        <v>12.829000473022461</v>
      </c>
      <c r="J203" s="1"/>
      <c r="K203" s="1">
        <f>(I203-J$2)</f>
        <v>-10.198249340057373</v>
      </c>
      <c r="L203" s="5">
        <f t="shared" si="21"/>
        <v>1174.8406222125845</v>
      </c>
    </row>
    <row r="204" spans="1:12">
      <c r="A204" t="s">
        <v>509</v>
      </c>
      <c r="B204" t="s">
        <v>512</v>
      </c>
      <c r="C204" s="2">
        <v>5.0960001945495605</v>
      </c>
      <c r="D204" s="1"/>
      <c r="E204" t="s">
        <v>517</v>
      </c>
      <c r="F204" s="14">
        <v>18.770000457763672</v>
      </c>
      <c r="G204" s="1"/>
      <c r="H204" s="1">
        <f t="shared" si="23"/>
        <v>13.674000263214111</v>
      </c>
      <c r="I204" s="6">
        <v>13.674000263214111</v>
      </c>
      <c r="J204" s="1"/>
      <c r="K204" s="1">
        <f>(I204-J$2)</f>
        <v>-9.3532495498657227</v>
      </c>
      <c r="L204" s="5">
        <f t="shared" si="21"/>
        <v>654.04656848908701</v>
      </c>
    </row>
    <row r="205" spans="1:12">
      <c r="A205" t="s">
        <v>510</v>
      </c>
      <c r="B205" t="s">
        <v>512</v>
      </c>
      <c r="C205" s="2">
        <v>5.5130000114440918</v>
      </c>
      <c r="D205" s="1">
        <f>AVERAGE(C205:C207)</f>
        <v>5.518666585286458</v>
      </c>
      <c r="E205" t="s">
        <v>517</v>
      </c>
      <c r="F205" s="14">
        <v>19.99799919128418</v>
      </c>
      <c r="G205" s="4">
        <f>AVERAGE(F205:F208)</f>
        <v>20.022499561309814</v>
      </c>
      <c r="H205" s="7">
        <f>(F205-C208)</f>
        <v>14.495999336242676</v>
      </c>
      <c r="I205" s="6">
        <v>14.495999336242676</v>
      </c>
      <c r="J205" s="1">
        <f>AVERAGE(I205:I208)</f>
        <v>14.510749697685242</v>
      </c>
      <c r="K205" s="1">
        <f>(I205-I201)</f>
        <v>1.4929986000061035</v>
      </c>
      <c r="L205" s="5">
        <f t="shared" si="21"/>
        <v>0.3552733555530842</v>
      </c>
    </row>
    <row r="206" spans="1:12">
      <c r="A206" t="s">
        <v>510</v>
      </c>
      <c r="B206" t="s">
        <v>512</v>
      </c>
      <c r="C206" s="2">
        <v>5.5069999694824219</v>
      </c>
      <c r="D206" s="1"/>
      <c r="E206" t="s">
        <v>517</v>
      </c>
      <c r="F206" s="14">
        <v>20.023000717163086</v>
      </c>
      <c r="G206" s="1"/>
      <c r="H206" s="1">
        <f>(F206-C206)</f>
        <v>14.516000747680664</v>
      </c>
      <c r="I206" s="6">
        <v>14.516000747680664</v>
      </c>
      <c r="J206" s="1"/>
      <c r="K206" s="1">
        <f>(I206-I202)</f>
        <v>1.429999828338623</v>
      </c>
      <c r="L206" s="5">
        <f t="shared" si="21"/>
        <v>0.37113093681686776</v>
      </c>
    </row>
    <row r="207" spans="1:12">
      <c r="A207" t="s">
        <v>510</v>
      </c>
      <c r="B207" t="s">
        <v>512</v>
      </c>
      <c r="C207" s="2">
        <v>5.5359997749328613</v>
      </c>
      <c r="D207" s="1"/>
      <c r="E207" t="s">
        <v>517</v>
      </c>
      <c r="F207" s="14">
        <v>19.983999252319336</v>
      </c>
      <c r="G207" s="1"/>
      <c r="H207" s="1">
        <f>(F207-C207)</f>
        <v>14.447999477386475</v>
      </c>
      <c r="I207" s="6">
        <v>14.447999477386475</v>
      </c>
      <c r="J207" s="1"/>
      <c r="K207" s="1">
        <f>(I207-I203)</f>
        <v>1.6189990043640137</v>
      </c>
      <c r="L207" s="5">
        <f t="shared" si="21"/>
        <v>0.32556127206926583</v>
      </c>
    </row>
    <row r="208" spans="1:12">
      <c r="A208" t="s">
        <v>510</v>
      </c>
      <c r="B208" t="s">
        <v>512</v>
      </c>
      <c r="C208" s="2">
        <v>5.5019998550415039</v>
      </c>
      <c r="D208" s="1"/>
      <c r="E208" t="s">
        <v>517</v>
      </c>
      <c r="F208" s="14">
        <v>20.084999084472656</v>
      </c>
      <c r="G208" s="1"/>
      <c r="H208" s="1">
        <f>(F208-C208)</f>
        <v>14.582999229431152</v>
      </c>
      <c r="I208" s="6">
        <v>14.582999229431152</v>
      </c>
      <c r="J208" s="1"/>
      <c r="K208" s="1">
        <f>(I208-I204)</f>
        <v>0.90899896621704102</v>
      </c>
      <c r="L208" s="5">
        <f t="shared" si="21"/>
        <v>0.53255448330580624</v>
      </c>
    </row>
    <row r="209" spans="1:12">
      <c r="B209" s="1"/>
      <c r="C209" s="2"/>
      <c r="D209" s="1"/>
      <c r="E209" s="1"/>
      <c r="F209" s="8"/>
      <c r="G209" s="1"/>
      <c r="H209" s="1"/>
      <c r="I209" s="6"/>
      <c r="J209" s="1"/>
      <c r="K209" s="1"/>
      <c r="L209" s="5"/>
    </row>
    <row r="211" spans="1:12">
      <c r="A211" t="s">
        <v>505</v>
      </c>
      <c r="B211" t="s">
        <v>512</v>
      </c>
      <c r="C211" s="2">
        <v>4.6750001907348633</v>
      </c>
      <c r="D211" s="1">
        <f>AVERAGE(C211:C213)</f>
        <v>4.8396666844685869</v>
      </c>
      <c r="E211" t="s">
        <v>504</v>
      </c>
      <c r="F211" s="11">
        <v>28.579000473022461</v>
      </c>
      <c r="G211" s="4">
        <f>AVERAGE(F211:F214)</f>
        <v>28.420000076293945</v>
      </c>
      <c r="H211" s="1">
        <f>(F211-C211)</f>
        <v>23.904000282287598</v>
      </c>
      <c r="I211" s="6">
        <v>21.335000473022461</v>
      </c>
      <c r="J211" s="1">
        <f>AVERAGE(I211:I214)</f>
        <v>21.323250076293945</v>
      </c>
      <c r="K211" s="1">
        <f>(I211-J$2)</f>
        <v>-1.6922493400573728</v>
      </c>
      <c r="L211" s="5">
        <f t="shared" ref="L211:L234" si="24">2^(-K211)</f>
        <v>3.23160157780252</v>
      </c>
    </row>
    <row r="212" spans="1:12">
      <c r="A212" t="s">
        <v>505</v>
      </c>
      <c r="B212" t="s">
        <v>512</v>
      </c>
      <c r="C212" s="2">
        <v>4.8499999046325684</v>
      </c>
      <c r="D212" s="1"/>
      <c r="E212" t="s">
        <v>504</v>
      </c>
      <c r="F212" s="11">
        <v>28.554000854492188</v>
      </c>
      <c r="G212" s="1"/>
      <c r="H212" s="1">
        <f>(F212-C212)</f>
        <v>23.704000949859619</v>
      </c>
      <c r="I212" s="6">
        <v>21.455000854492187</v>
      </c>
      <c r="J212" s="1"/>
      <c r="K212" s="1">
        <f>(I212-J$2)</f>
        <v>-1.5722489585876467</v>
      </c>
      <c r="L212" s="5">
        <f t="shared" si="24"/>
        <v>2.9736790773492787</v>
      </c>
    </row>
    <row r="213" spans="1:12">
      <c r="A213" t="s">
        <v>505</v>
      </c>
      <c r="B213" t="s">
        <v>512</v>
      </c>
      <c r="C213" s="2">
        <v>4.9939999580383301</v>
      </c>
      <c r="D213" s="1"/>
      <c r="E213" t="s">
        <v>504</v>
      </c>
      <c r="F213" s="11">
        <v>28.23699951171875</v>
      </c>
      <c r="G213" s="1"/>
      <c r="H213" s="1">
        <f>(F213-C213)</f>
        <v>23.24299955368042</v>
      </c>
      <c r="I213" s="6">
        <v>21.15299951171875</v>
      </c>
      <c r="J213" s="1"/>
      <c r="K213" s="1">
        <f>(I213-J$2)</f>
        <v>-1.8742503013610836</v>
      </c>
      <c r="L213" s="5">
        <f t="shared" si="24"/>
        <v>3.6661105778859109</v>
      </c>
    </row>
    <row r="214" spans="1:12">
      <c r="A214" t="s">
        <v>505</v>
      </c>
      <c r="B214" t="s">
        <v>512</v>
      </c>
      <c r="C214" s="2">
        <v>5.1020002365112305</v>
      </c>
      <c r="D214" s="1"/>
      <c r="E214" t="s">
        <v>504</v>
      </c>
      <c r="F214" s="11">
        <v>28.309999465942383</v>
      </c>
      <c r="G214" s="1"/>
      <c r="H214" s="1">
        <f>(F214-C214)</f>
        <v>23.207999229431152</v>
      </c>
      <c r="I214" s="6">
        <v>21.349999465942382</v>
      </c>
      <c r="J214" s="1"/>
      <c r="K214" s="1">
        <f>(I214-J$2)</f>
        <v>-1.677250347137452</v>
      </c>
      <c r="L214" s="5">
        <f t="shared" si="24"/>
        <v>3.1981782448567815</v>
      </c>
    </row>
    <row r="215" spans="1:12">
      <c r="A215" t="s">
        <v>506</v>
      </c>
      <c r="B215" t="s">
        <v>512</v>
      </c>
      <c r="C215" s="2">
        <v>5.1760001182556152</v>
      </c>
      <c r="D215" s="1">
        <f>AVERAGE(C215:C217)</f>
        <v>5.3286666870117188</v>
      </c>
      <c r="E215" t="s">
        <v>504</v>
      </c>
      <c r="F215" s="11">
        <v>30.363000869750977</v>
      </c>
      <c r="G215" s="4">
        <f>AVERAGE(F215:F218)</f>
        <v>30.360250473022461</v>
      </c>
      <c r="H215" s="7">
        <f>(F215-C218)</f>
        <v>25.397000789642334</v>
      </c>
      <c r="I215" s="6">
        <v>19.665000869750976</v>
      </c>
      <c r="J215" s="1">
        <f>AVERAGE(I215:I218)</f>
        <v>19.536000473022462</v>
      </c>
      <c r="K215" s="1">
        <f>(I215-I211)</f>
        <v>-1.669999603271485</v>
      </c>
      <c r="L215" s="5">
        <f t="shared" si="24"/>
        <v>3.182145059957501</v>
      </c>
    </row>
    <row r="216" spans="1:12">
      <c r="A216" t="s">
        <v>506</v>
      </c>
      <c r="B216" t="s">
        <v>512</v>
      </c>
      <c r="C216" s="2">
        <v>5.4860000610351562</v>
      </c>
      <c r="D216" s="1"/>
      <c r="E216" t="s">
        <v>504</v>
      </c>
      <c r="F216" s="11">
        <v>30.16200065612793</v>
      </c>
      <c r="G216" s="1"/>
      <c r="H216" s="1">
        <f t="shared" ref="H216:H222" si="25">(F216-C216)</f>
        <v>24.676000595092773</v>
      </c>
      <c r="I216" s="6">
        <v>19.29600065612793</v>
      </c>
      <c r="J216" s="1"/>
      <c r="K216" s="1">
        <f>(I216-I212)</f>
        <v>-2.1590001983642573</v>
      </c>
      <c r="L216" s="5">
        <f t="shared" si="24"/>
        <v>4.4660524619929243</v>
      </c>
    </row>
    <row r="217" spans="1:12">
      <c r="A217" t="s">
        <v>506</v>
      </c>
      <c r="B217" t="s">
        <v>512</v>
      </c>
      <c r="C217" s="2">
        <v>5.3239998817443848</v>
      </c>
      <c r="D217" s="1"/>
      <c r="E217" t="s">
        <v>504</v>
      </c>
      <c r="F217" s="11">
        <v>30.777999877929688</v>
      </c>
      <c r="G217" s="1"/>
      <c r="H217" s="1">
        <f t="shared" si="25"/>
        <v>25.453999996185303</v>
      </c>
      <c r="I217" s="6">
        <v>19.742999877929687</v>
      </c>
      <c r="J217" s="1"/>
      <c r="K217" s="1">
        <f>(I217-I213)</f>
        <v>-1.409999633789063</v>
      </c>
      <c r="L217" s="5">
        <f t="shared" si="24"/>
        <v>2.6573709536510006</v>
      </c>
    </row>
    <row r="218" spans="1:12">
      <c r="A218" t="s">
        <v>506</v>
      </c>
      <c r="B218" t="s">
        <v>512</v>
      </c>
      <c r="C218" s="2">
        <v>4.9660000801086426</v>
      </c>
      <c r="D218" s="1"/>
      <c r="E218" t="s">
        <v>504</v>
      </c>
      <c r="F218" s="11">
        <v>30.13800048828125</v>
      </c>
      <c r="G218" s="1"/>
      <c r="H218" s="1">
        <f t="shared" si="25"/>
        <v>25.172000408172607</v>
      </c>
      <c r="I218" s="6">
        <v>19.44000048828125</v>
      </c>
      <c r="J218" s="1"/>
      <c r="K218" s="1">
        <f>(I218-I214)</f>
        <v>-1.9099989776611324</v>
      </c>
      <c r="L218" s="5">
        <f t="shared" si="24"/>
        <v>3.7580883337560684</v>
      </c>
    </row>
    <row r="219" spans="1:12">
      <c r="A219" t="s">
        <v>507</v>
      </c>
      <c r="B219" t="s">
        <v>512</v>
      </c>
      <c r="C219" s="2">
        <v>5.6570000648498535</v>
      </c>
      <c r="D219" s="1">
        <f>AVERAGE(C219:C221)</f>
        <v>5.5983333587646484</v>
      </c>
      <c r="E219" t="s">
        <v>504</v>
      </c>
      <c r="F219" s="11">
        <v>30.455999374389648</v>
      </c>
      <c r="G219" s="4">
        <f>AVERAGE(F219:F222)</f>
        <v>30.95674991607666</v>
      </c>
      <c r="H219" s="1">
        <f t="shared" si="25"/>
        <v>24.798999309539795</v>
      </c>
      <c r="I219" s="6">
        <v>20.146999374389651</v>
      </c>
      <c r="J219" s="1">
        <f>AVERAGE(I219:I222)</f>
        <v>20.611249916076659</v>
      </c>
      <c r="K219" s="1">
        <f>(I219-J$2)</f>
        <v>-2.880250438690183</v>
      </c>
      <c r="L219" s="5">
        <f t="shared" si="24"/>
        <v>7.3627792053338181</v>
      </c>
    </row>
    <row r="220" spans="1:12">
      <c r="A220" t="s">
        <v>507</v>
      </c>
      <c r="B220" t="s">
        <v>512</v>
      </c>
      <c r="C220" s="2">
        <v>5.5269999504089355</v>
      </c>
      <c r="D220" s="1"/>
      <c r="E220" t="s">
        <v>504</v>
      </c>
      <c r="F220" s="11">
        <v>31.226999282836914</v>
      </c>
      <c r="G220" s="1"/>
      <c r="H220" s="1">
        <f t="shared" si="25"/>
        <v>25.699999332427979</v>
      </c>
      <c r="I220" s="6">
        <v>20.884999282836915</v>
      </c>
      <c r="J220" s="1"/>
      <c r="K220" s="1">
        <f>(I220-J$2)</f>
        <v>-2.1422505302429187</v>
      </c>
      <c r="L220" s="5">
        <f t="shared" si="24"/>
        <v>4.4145014909156357</v>
      </c>
    </row>
    <row r="221" spans="1:12">
      <c r="A221" t="s">
        <v>507</v>
      </c>
      <c r="B221" t="s">
        <v>512</v>
      </c>
      <c r="C221" s="2">
        <v>5.6110000610351562</v>
      </c>
      <c r="D221" s="1"/>
      <c r="E221" t="s">
        <v>504</v>
      </c>
      <c r="F221" s="11">
        <v>31.398000717163086</v>
      </c>
      <c r="G221" s="1"/>
      <c r="H221" s="1">
        <f t="shared" si="25"/>
        <v>25.78700065612793</v>
      </c>
      <c r="I221" s="6">
        <v>21.033000717163084</v>
      </c>
      <c r="J221" s="1"/>
      <c r="K221" s="1">
        <f>(I221-J$2)</f>
        <v>-1.99424909591675</v>
      </c>
      <c r="L221" s="5">
        <f t="shared" si="24"/>
        <v>3.9840868459576591</v>
      </c>
    </row>
    <row r="222" spans="1:12">
      <c r="A222" t="s">
        <v>507</v>
      </c>
      <c r="B222" t="s">
        <v>512</v>
      </c>
      <c r="C222" s="2">
        <v>5.3270001411437988</v>
      </c>
      <c r="D222" s="1"/>
      <c r="E222" t="s">
        <v>504</v>
      </c>
      <c r="F222" s="11">
        <v>30.746000289916992</v>
      </c>
      <c r="G222" s="1"/>
      <c r="H222" s="1">
        <f t="shared" si="25"/>
        <v>25.419000148773193</v>
      </c>
      <c r="I222" s="6">
        <v>20.380000289916993</v>
      </c>
      <c r="J222" s="1"/>
      <c r="K222" s="1">
        <f>(I222-J$2)</f>
        <v>-2.6472495231628415</v>
      </c>
      <c r="L222" s="5">
        <f t="shared" si="24"/>
        <v>6.2647177986224571</v>
      </c>
    </row>
    <row r="223" spans="1:12">
      <c r="A223" t="s">
        <v>511</v>
      </c>
      <c r="B223" t="s">
        <v>512</v>
      </c>
      <c r="C223" s="2">
        <v>5.7940001487731934</v>
      </c>
      <c r="D223" s="1">
        <f>AVERAGE(C223:C225)</f>
        <v>5.9340001742045088</v>
      </c>
      <c r="E223" t="s">
        <v>504</v>
      </c>
      <c r="F223" s="11">
        <v>31.288999557495117</v>
      </c>
      <c r="G223" s="4">
        <f>AVERAGE(F223:F226)</f>
        <v>30.868750095367432</v>
      </c>
      <c r="H223" s="7">
        <f>(F223-C226)</f>
        <v>25.304999351501465</v>
      </c>
      <c r="I223" s="6">
        <v>20.955999557495119</v>
      </c>
      <c r="J223" s="1">
        <f>AVERAGE(I223:I226)</f>
        <v>20.504500095367433</v>
      </c>
      <c r="K223" s="1">
        <f>(I223-I219)</f>
        <v>0.80900018310546784</v>
      </c>
      <c r="L223" s="5">
        <f t="shared" si="24"/>
        <v>0.57077728112087833</v>
      </c>
    </row>
    <row r="224" spans="1:12">
      <c r="A224" t="s">
        <v>511</v>
      </c>
      <c r="B224" t="s">
        <v>512</v>
      </c>
      <c r="C224" s="2">
        <v>6.0300002098083496</v>
      </c>
      <c r="D224" s="1"/>
      <c r="E224" t="s">
        <v>504</v>
      </c>
      <c r="F224" s="11">
        <v>30.059000015258789</v>
      </c>
      <c r="G224" s="1"/>
      <c r="H224" s="1">
        <f t="shared" ref="H224:H230" si="26">(F224-C224)</f>
        <v>24.028999805450439</v>
      </c>
      <c r="I224" s="6">
        <v>19.701000015258789</v>
      </c>
      <c r="J224" s="1"/>
      <c r="K224" s="1">
        <f>(I224-I220)</f>
        <v>-1.1839992675781268</v>
      </c>
      <c r="L224" s="5">
        <f t="shared" si="24"/>
        <v>2.2720573761037239</v>
      </c>
    </row>
    <row r="225" spans="1:12">
      <c r="A225" t="s">
        <v>511</v>
      </c>
      <c r="B225" t="s">
        <v>512</v>
      </c>
      <c r="C225" s="2">
        <v>5.9780001640319824</v>
      </c>
      <c r="D225" s="1"/>
      <c r="E225" t="s">
        <v>504</v>
      </c>
      <c r="F225" s="11">
        <v>31.152999877929688</v>
      </c>
      <c r="G225" s="1"/>
      <c r="H225" s="1">
        <f t="shared" si="26"/>
        <v>25.174999713897705</v>
      </c>
      <c r="I225" s="6">
        <v>20.719999877929688</v>
      </c>
      <c r="J225" s="1"/>
      <c r="K225" s="1">
        <f>(I225-I221)</f>
        <v>-0.31300083923339628</v>
      </c>
      <c r="L225" s="5">
        <f t="shared" si="24"/>
        <v>1.2422890044389767</v>
      </c>
    </row>
    <row r="226" spans="1:12">
      <c r="A226" t="s">
        <v>511</v>
      </c>
      <c r="B226" t="s">
        <v>512</v>
      </c>
      <c r="C226" s="2">
        <v>5.9840002059936523</v>
      </c>
      <c r="D226" s="1"/>
      <c r="E226" t="s">
        <v>504</v>
      </c>
      <c r="F226" s="11">
        <v>30.974000930786133</v>
      </c>
      <c r="G226" s="1"/>
      <c r="H226" s="1">
        <f t="shared" si="26"/>
        <v>24.99000072479248</v>
      </c>
      <c r="I226" s="6">
        <v>20.641000930786134</v>
      </c>
      <c r="J226" s="1"/>
      <c r="K226" s="1">
        <f>(I226-I222)</f>
        <v>0.26100064086914188</v>
      </c>
      <c r="L226" s="5">
        <f t="shared" si="24"/>
        <v>0.83450891045258346</v>
      </c>
    </row>
    <row r="227" spans="1:12">
      <c r="A227" t="s">
        <v>509</v>
      </c>
      <c r="B227" t="s">
        <v>512</v>
      </c>
      <c r="C227" s="2">
        <v>5.1279997825622559</v>
      </c>
      <c r="D227" s="1">
        <f>AVERAGE(C227:C229)</f>
        <v>5.4499998092651367</v>
      </c>
      <c r="E227" t="s">
        <v>504</v>
      </c>
      <c r="F227" s="11">
        <v>30.052000045776367</v>
      </c>
      <c r="G227" s="4">
        <f>AVERAGE(F227:F230)</f>
        <v>29.853749752044678</v>
      </c>
      <c r="H227" s="1">
        <f t="shared" si="26"/>
        <v>24.924000263214111</v>
      </c>
      <c r="I227" s="6">
        <v>21.355000045776368</v>
      </c>
      <c r="J227" s="1">
        <f>AVERAGE(I227:I230)</f>
        <v>21.031499752044681</v>
      </c>
      <c r="K227" s="1">
        <f>(I227-J$2)</f>
        <v>-1.672249767303466</v>
      </c>
      <c r="L227" s="5">
        <f t="shared" si="24"/>
        <v>3.1871121077665285</v>
      </c>
    </row>
    <row r="228" spans="1:12">
      <c r="A228" t="s">
        <v>509</v>
      </c>
      <c r="B228" t="s">
        <v>512</v>
      </c>
      <c r="C228" s="2">
        <v>5.554999828338623</v>
      </c>
      <c r="D228" s="1"/>
      <c r="E228" t="s">
        <v>504</v>
      </c>
      <c r="F228" s="11">
        <v>29.757999420166016</v>
      </c>
      <c r="G228" s="1"/>
      <c r="H228" s="1">
        <f t="shared" si="26"/>
        <v>24.202999591827393</v>
      </c>
      <c r="I228" s="6">
        <v>20.895999420166014</v>
      </c>
      <c r="J228" s="1"/>
      <c r="K228" s="1">
        <f>(I228-J$2)</f>
        <v>-2.1312503929138202</v>
      </c>
      <c r="L228" s="5">
        <f t="shared" si="24"/>
        <v>4.38097017462034</v>
      </c>
    </row>
    <row r="229" spans="1:12">
      <c r="A229" t="s">
        <v>509</v>
      </c>
      <c r="B229" t="s">
        <v>512</v>
      </c>
      <c r="C229" s="2">
        <v>5.6669998168945312</v>
      </c>
      <c r="D229" s="1"/>
      <c r="E229" t="s">
        <v>504</v>
      </c>
      <c r="F229" s="11">
        <v>29.621999740600586</v>
      </c>
      <c r="G229" s="1"/>
      <c r="H229" s="1">
        <f t="shared" si="26"/>
        <v>23.954999923706055</v>
      </c>
      <c r="I229" s="6">
        <v>20.745999740600588</v>
      </c>
      <c r="J229" s="1"/>
      <c r="K229" s="1">
        <f>(I229-J$2)</f>
        <v>-2.2812500724792457</v>
      </c>
      <c r="L229" s="5">
        <f t="shared" si="24"/>
        <v>4.8609896841320834</v>
      </c>
    </row>
    <row r="230" spans="1:12">
      <c r="A230" t="s">
        <v>509</v>
      </c>
      <c r="B230" t="s">
        <v>512</v>
      </c>
      <c r="C230" s="2">
        <v>5.0960001945495605</v>
      </c>
      <c r="D230" s="1"/>
      <c r="E230" t="s">
        <v>504</v>
      </c>
      <c r="F230" s="11">
        <v>29.982999801635742</v>
      </c>
      <c r="G230" s="1"/>
      <c r="H230" s="1">
        <f t="shared" si="26"/>
        <v>24.886999607086182</v>
      </c>
      <c r="I230" s="6">
        <v>21.128999801635743</v>
      </c>
      <c r="J230" s="1"/>
      <c r="K230" s="1">
        <f>(I230-J$2)</f>
        <v>-1.898250011444091</v>
      </c>
      <c r="L230" s="5">
        <f t="shared" si="24"/>
        <v>3.72760763600012</v>
      </c>
    </row>
    <row r="231" spans="1:12">
      <c r="A231" t="s">
        <v>510</v>
      </c>
      <c r="B231" t="s">
        <v>512</v>
      </c>
      <c r="C231" s="2">
        <v>5.5130000114440918</v>
      </c>
      <c r="D231" s="1">
        <f>AVERAGE(C231:C233)</f>
        <v>5.518666585286458</v>
      </c>
      <c r="E231" t="s">
        <v>504</v>
      </c>
      <c r="F231" s="11">
        <v>27.844999313354492</v>
      </c>
      <c r="G231" s="4">
        <f>AVERAGE(F231:F234)</f>
        <v>27.950249519348144</v>
      </c>
      <c r="H231" s="7">
        <f>(F231-C234)</f>
        <v>22.342999458312988</v>
      </c>
      <c r="I231" s="6">
        <v>21.185999313354493</v>
      </c>
      <c r="J231" s="1">
        <f>AVERAGE(I231:I234)</f>
        <v>21.290249519348144</v>
      </c>
      <c r="K231" s="1">
        <f>(I231-I227)</f>
        <v>-0.16900073242187474</v>
      </c>
      <c r="L231" s="5">
        <f t="shared" si="24"/>
        <v>1.1242794945483665</v>
      </c>
    </row>
    <row r="232" spans="1:12">
      <c r="A232" t="s">
        <v>510</v>
      </c>
      <c r="B232" t="s">
        <v>512</v>
      </c>
      <c r="C232" s="2">
        <v>5.5069999694824219</v>
      </c>
      <c r="D232" s="1"/>
      <c r="E232" t="s">
        <v>504</v>
      </c>
      <c r="F232" s="11">
        <v>27.878999710083008</v>
      </c>
      <c r="G232" s="1"/>
      <c r="H232" s="1">
        <f>(F232-C232)</f>
        <v>22.371999740600586</v>
      </c>
      <c r="I232" s="6">
        <v>21.288999710083008</v>
      </c>
      <c r="J232" s="1"/>
      <c r="K232" s="1">
        <f>(I232-I228)</f>
        <v>0.39300028991699421</v>
      </c>
      <c r="L232" s="5">
        <f t="shared" si="24"/>
        <v>0.76154421681538509</v>
      </c>
    </row>
    <row r="233" spans="1:12">
      <c r="A233" t="s">
        <v>510</v>
      </c>
      <c r="B233" t="s">
        <v>512</v>
      </c>
      <c r="C233" s="2">
        <v>5.5359997749328613</v>
      </c>
      <c r="D233" s="1"/>
      <c r="E233" t="s">
        <v>504</v>
      </c>
      <c r="F233" s="11">
        <v>27.966999053955078</v>
      </c>
      <c r="G233" s="1"/>
      <c r="H233" s="1">
        <f>(F233-C233)</f>
        <v>22.430999279022217</v>
      </c>
      <c r="I233" s="6">
        <v>21.234999053955079</v>
      </c>
      <c r="J233" s="1"/>
      <c r="K233" s="1">
        <f>(I233-I229)</f>
        <v>0.48899931335449054</v>
      </c>
      <c r="L233" s="5">
        <f t="shared" si="24"/>
        <v>0.71251914619523316</v>
      </c>
    </row>
    <row r="234" spans="1:12">
      <c r="A234" t="s">
        <v>510</v>
      </c>
      <c r="B234" t="s">
        <v>512</v>
      </c>
      <c r="C234" s="2">
        <v>5.5019998550415039</v>
      </c>
      <c r="D234" s="1"/>
      <c r="E234" t="s">
        <v>504</v>
      </c>
      <c r="F234" s="11">
        <v>28.11</v>
      </c>
      <c r="G234" s="1"/>
      <c r="H234" s="1">
        <f>(F234-C234)</f>
        <v>22.608000144958496</v>
      </c>
      <c r="I234" s="6">
        <v>21.451000000000001</v>
      </c>
      <c r="J234" s="1"/>
      <c r="K234" s="1">
        <f>(I234-I230)</f>
        <v>0.32200019836425753</v>
      </c>
      <c r="L234" s="5">
        <f t="shared" si="24"/>
        <v>0.79996001834174157</v>
      </c>
    </row>
    <row r="235" spans="1:12">
      <c r="A235" s="4"/>
      <c r="B235" s="1"/>
      <c r="C235" s="2"/>
      <c r="D235" s="1"/>
      <c r="E235" s="1"/>
      <c r="F235" s="8"/>
      <c r="G235" s="1"/>
      <c r="H235" s="1"/>
      <c r="I235" s="6"/>
      <c r="J235" s="1"/>
      <c r="K235" s="1"/>
      <c r="L235" s="5"/>
    </row>
  </sheetData>
  <phoneticPr fontId="2" type="noConversion"/>
  <pageMargins left="0.75" right="0.75" top="1" bottom="1" header="0.5" footer="0.5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222"/>
  <sheetViews>
    <sheetView tabSelected="1" zoomScaleSheetLayoutView="100" workbookViewId="0">
      <selection activeCell="L194" sqref="L194:L217"/>
    </sheetView>
  </sheetViews>
  <sheetFormatPr baseColWidth="10" defaultColWidth="8.6640625" defaultRowHeight="13"/>
  <cols>
    <col min="1" max="2" width="8.6640625" style="16"/>
    <col min="3" max="3" width="11" style="16" customWidth="1"/>
    <col min="4" max="7" width="8.6640625" style="16"/>
    <col min="8" max="8" width="12.5" style="16" customWidth="1"/>
    <col min="9" max="9" width="12.6640625" style="16" customWidth="1"/>
    <col min="10" max="11" width="8.6640625" style="16"/>
    <col min="12" max="12" width="11.6640625" style="17" customWidth="1"/>
    <col min="13" max="16384" width="8.6640625" style="16"/>
  </cols>
  <sheetData>
    <row r="1" spans="1:26">
      <c r="A1" s="16" t="s">
        <v>490</v>
      </c>
      <c r="D1" s="16" t="s">
        <v>491</v>
      </c>
      <c r="G1" s="16" t="s">
        <v>491</v>
      </c>
      <c r="H1" s="16" t="s">
        <v>492</v>
      </c>
      <c r="I1" s="16" t="s">
        <v>492</v>
      </c>
      <c r="J1" s="16" t="s">
        <v>493</v>
      </c>
      <c r="K1" s="16" t="s">
        <v>494</v>
      </c>
      <c r="L1" s="18" t="s">
        <v>489</v>
      </c>
      <c r="Q1" s="21"/>
      <c r="S1" s="21"/>
      <c r="T1" s="21"/>
      <c r="W1" s="21"/>
      <c r="Z1" s="18"/>
    </row>
    <row r="2" spans="1:26">
      <c r="A2" t="s">
        <v>519</v>
      </c>
      <c r="B2" t="s">
        <v>512</v>
      </c>
      <c r="C2" s="2">
        <v>4.6774954795837402</v>
      </c>
      <c r="D2" s="19">
        <f>AVERAGE(C2:C5)</f>
        <v>4.6774954795837402</v>
      </c>
      <c r="E2" t="s">
        <v>502</v>
      </c>
      <c r="F2" s="2">
        <v>22.51300048828125</v>
      </c>
      <c r="G2" s="19">
        <f>AVERAGE(F2:F5)</f>
        <v>22.589749813079834</v>
      </c>
      <c r="H2" s="16">
        <f>(F2-C2)</f>
        <v>17.83550500869751</v>
      </c>
      <c r="I2" s="16">
        <v>17.83550500869751</v>
      </c>
      <c r="J2" s="16">
        <f>AVERAGE(I2:I5)</f>
        <v>17.912254333496094</v>
      </c>
      <c r="K2" s="16">
        <f>(I2-J$2)</f>
        <v>-7.6749324798583984E-2</v>
      </c>
      <c r="L2" s="18">
        <f>2^(-K2)</f>
        <v>1.0546390525397349</v>
      </c>
      <c r="O2" s="21"/>
      <c r="Q2" s="22"/>
      <c r="R2" s="19"/>
      <c r="S2" s="21"/>
      <c r="T2" s="22"/>
      <c r="U2" s="19"/>
      <c r="Z2" s="18"/>
    </row>
    <row r="3" spans="1:26">
      <c r="A3" t="s">
        <v>519</v>
      </c>
      <c r="B3" t="s">
        <v>512</v>
      </c>
      <c r="C3" s="2">
        <v>4.6774954795837402</v>
      </c>
      <c r="E3" t="s">
        <v>502</v>
      </c>
      <c r="F3" s="2">
        <v>22.565999984741211</v>
      </c>
      <c r="H3" s="16">
        <f t="shared" ref="H3:H4" si="0">(F3-C3)</f>
        <v>17.888504505157471</v>
      </c>
      <c r="I3" s="16">
        <v>17.888504505157471</v>
      </c>
      <c r="K3" s="16">
        <f>(I3-J$2)</f>
        <v>-2.3749828338623047E-2</v>
      </c>
      <c r="L3" s="18">
        <f>2^(-K3)</f>
        <v>1.0165983739709838</v>
      </c>
      <c r="O3"/>
      <c r="P3"/>
      <c r="Q3" s="2"/>
      <c r="R3" s="19"/>
      <c r="S3"/>
      <c r="T3" s="2"/>
      <c r="U3" s="19"/>
      <c r="Z3" s="18"/>
    </row>
    <row r="4" spans="1:26">
      <c r="A4" t="s">
        <v>519</v>
      </c>
      <c r="B4" t="s">
        <v>512</v>
      </c>
      <c r="C4" s="2">
        <v>4.6774954795837402</v>
      </c>
      <c r="E4" t="s">
        <v>502</v>
      </c>
      <c r="F4" s="2">
        <v>22.639999389648438</v>
      </c>
      <c r="H4" s="16">
        <f t="shared" si="0"/>
        <v>17.962503910064697</v>
      </c>
      <c r="I4" s="16">
        <v>17.962503910064697</v>
      </c>
      <c r="K4" s="16">
        <f>(I4-J$2)</f>
        <v>5.0249576568603516E-2</v>
      </c>
      <c r="L4" s="18">
        <f>2^(-K4)</f>
        <v>0.96576924286947896</v>
      </c>
      <c r="O4"/>
      <c r="P4"/>
      <c r="Q4" s="2"/>
      <c r="S4"/>
      <c r="T4" s="2"/>
      <c r="Z4" s="18"/>
    </row>
    <row r="5" spans="1:26">
      <c r="A5" t="s">
        <v>519</v>
      </c>
      <c r="B5" t="s">
        <v>512</v>
      </c>
      <c r="C5" s="2">
        <v>4.6774954795837402</v>
      </c>
      <c r="E5" t="s">
        <v>502</v>
      </c>
      <c r="F5" s="2">
        <v>22.639999389648438</v>
      </c>
      <c r="H5" s="16">
        <f>(F5-C5)</f>
        <v>17.962503910064697</v>
      </c>
      <c r="I5" s="16">
        <v>17.962503910064697</v>
      </c>
      <c r="K5" s="16">
        <f>(I5-J$2)</f>
        <v>5.0249576568603516E-2</v>
      </c>
      <c r="L5" s="18">
        <f>2^(-K5)</f>
        <v>0.96576924286947896</v>
      </c>
      <c r="O5"/>
      <c r="P5"/>
      <c r="Q5" s="2"/>
      <c r="S5"/>
      <c r="T5" s="2"/>
      <c r="Z5" s="18"/>
    </row>
    <row r="6" spans="1:26">
      <c r="A6" t="s">
        <v>520</v>
      </c>
      <c r="B6" t="s">
        <v>512</v>
      </c>
      <c r="C6" s="2">
        <v>4.6805324554443359</v>
      </c>
      <c r="D6" s="19">
        <f>AVERAGE(C6:C9)</f>
        <v>4.6805324554443359</v>
      </c>
      <c r="E6" t="s">
        <v>502</v>
      </c>
      <c r="F6" s="2">
        <v>22.780000686645508</v>
      </c>
      <c r="G6" s="19">
        <f>AVERAGE(F6:F9)</f>
        <v>22.833500385284424</v>
      </c>
      <c r="H6" s="16">
        <f>(F6-C10)</f>
        <v>17.975461483001709</v>
      </c>
      <c r="I6" s="16">
        <v>17.975461483001709</v>
      </c>
      <c r="J6" s="16">
        <f>AVERAGE(I6:I9)</f>
        <v>18.028961181640625</v>
      </c>
      <c r="K6" s="16">
        <f>(I6-J$2)</f>
        <v>6.3207149505615234E-2</v>
      </c>
      <c r="L6" s="18">
        <f>2^(-K6)</f>
        <v>0.95713401814870047</v>
      </c>
      <c r="O6"/>
      <c r="P6"/>
      <c r="Q6" s="2"/>
      <c r="S6"/>
      <c r="T6" s="2"/>
      <c r="Z6" s="18"/>
    </row>
    <row r="7" spans="1:26">
      <c r="A7" t="s">
        <v>520</v>
      </c>
      <c r="B7" t="s">
        <v>512</v>
      </c>
      <c r="C7" s="2">
        <v>4.6805324554443359</v>
      </c>
      <c r="E7" t="s">
        <v>502</v>
      </c>
      <c r="F7" s="2">
        <v>22.743000030517578</v>
      </c>
      <c r="H7" s="16">
        <f>(F7-C11)</f>
        <v>17.938460826873779</v>
      </c>
      <c r="I7" s="16">
        <v>17.938460826873779</v>
      </c>
      <c r="K7" s="16">
        <f>(I7-J$2)</f>
        <v>2.6206493377685547E-2</v>
      </c>
      <c r="L7" s="18">
        <f>2^(-K7)</f>
        <v>0.981999031385693</v>
      </c>
      <c r="O7"/>
      <c r="P7"/>
      <c r="Q7" s="2"/>
      <c r="R7" s="19"/>
      <c r="S7"/>
      <c r="T7" s="2"/>
      <c r="U7" s="19"/>
      <c r="Z7" s="18"/>
    </row>
    <row r="8" spans="1:26">
      <c r="A8" t="s">
        <v>520</v>
      </c>
      <c r="B8" t="s">
        <v>512</v>
      </c>
      <c r="C8" s="2">
        <v>4.6805324554443359</v>
      </c>
      <c r="E8" t="s">
        <v>502</v>
      </c>
      <c r="F8" s="2">
        <v>22.909000396728516</v>
      </c>
      <c r="H8" s="16">
        <f>(F8-C12)</f>
        <v>18.104461193084717</v>
      </c>
      <c r="I8" s="16">
        <v>18.104461193084717</v>
      </c>
      <c r="K8" s="16">
        <f>(I8-J$2)</f>
        <v>0.19220685958862305</v>
      </c>
      <c r="L8" s="18">
        <f>2^(-K8)</f>
        <v>0.87526582145890475</v>
      </c>
      <c r="O8"/>
      <c r="P8"/>
      <c r="Q8" s="2"/>
      <c r="S8"/>
      <c r="T8" s="2"/>
      <c r="Z8" s="18"/>
    </row>
    <row r="9" spans="1:26">
      <c r="A9" t="s">
        <v>520</v>
      </c>
      <c r="B9" t="s">
        <v>512</v>
      </c>
      <c r="C9" s="2">
        <v>4.6805324554443359</v>
      </c>
      <c r="E9" t="s">
        <v>502</v>
      </c>
      <c r="F9" s="2">
        <v>22.902000427246094</v>
      </c>
      <c r="H9" s="16">
        <f>(F9-C13)</f>
        <v>18.097461223602295</v>
      </c>
      <c r="I9" s="16">
        <v>18.097461223602295</v>
      </c>
      <c r="K9" s="16">
        <f>(I9-J$2)</f>
        <v>0.18520689010620117</v>
      </c>
      <c r="L9" s="18">
        <f>2^(-K9)</f>
        <v>0.87952293863285658</v>
      </c>
      <c r="O9"/>
      <c r="P9"/>
      <c r="Q9" s="2"/>
      <c r="S9"/>
      <c r="T9" s="2"/>
      <c r="Z9" s="18"/>
    </row>
    <row r="10" spans="1:26">
      <c r="A10" t="s">
        <v>521</v>
      </c>
      <c r="B10" t="s">
        <v>512</v>
      </c>
      <c r="C10" s="2">
        <v>4.8045392036437988</v>
      </c>
      <c r="D10" s="19">
        <f>AVERAGE(C10:C13)</f>
        <v>4.8045392036437988</v>
      </c>
      <c r="E10" t="s">
        <v>502</v>
      </c>
      <c r="F10" s="2">
        <v>23.187000274658203</v>
      </c>
      <c r="G10" s="19">
        <f>AVERAGE(F10:F13)</f>
        <v>23.275499820709229</v>
      </c>
      <c r="H10" s="16">
        <f>(F10-C14)</f>
        <v>18.486763000488281</v>
      </c>
      <c r="I10" s="16">
        <v>18.486763000488281</v>
      </c>
      <c r="J10" s="16">
        <f>AVERAGE(I10:I13)</f>
        <v>18.575262546539307</v>
      </c>
      <c r="K10" s="16">
        <f>(I10-J$2)</f>
        <v>0.5745086669921875</v>
      </c>
      <c r="L10" s="18">
        <f t="shared" ref="L10:L21" si="1">2^(-K10)</f>
        <v>0.671514907657497</v>
      </c>
      <c r="O10"/>
      <c r="P10"/>
      <c r="Q10" s="2"/>
      <c r="S10"/>
      <c r="T10" s="2"/>
      <c r="Z10" s="18"/>
    </row>
    <row r="11" spans="1:26">
      <c r="A11" t="s">
        <v>521</v>
      </c>
      <c r="B11" t="s">
        <v>512</v>
      </c>
      <c r="C11" s="2">
        <v>4.8045392036437988</v>
      </c>
      <c r="E11" t="s">
        <v>502</v>
      </c>
      <c r="F11" s="2">
        <v>23.517999649047852</v>
      </c>
      <c r="H11" s="16">
        <f>(F11-C15)</f>
        <v>18.81776237487793</v>
      </c>
      <c r="I11" s="16">
        <v>18.81776237487793</v>
      </c>
      <c r="K11" s="16">
        <f>(I11-J$2)</f>
        <v>0.90550804138183594</v>
      </c>
      <c r="L11" s="18">
        <f t="shared" si="1"/>
        <v>0.53384467887645626</v>
      </c>
      <c r="O11"/>
      <c r="P11"/>
      <c r="Q11" s="2"/>
      <c r="R11" s="19"/>
      <c r="S11"/>
      <c r="T11" s="2"/>
      <c r="U11" s="19"/>
      <c r="Z11" s="18"/>
    </row>
    <row r="12" spans="1:26">
      <c r="A12" t="s">
        <v>521</v>
      </c>
      <c r="B12" t="s">
        <v>512</v>
      </c>
      <c r="C12" s="2">
        <v>4.8045392036437988</v>
      </c>
      <c r="E12" t="s">
        <v>502</v>
      </c>
      <c r="F12" s="2">
        <v>23.215999603271484</v>
      </c>
      <c r="H12" s="16">
        <f>(F12-C16)</f>
        <v>18.515762329101562</v>
      </c>
      <c r="I12" s="16">
        <v>18.515762329101562</v>
      </c>
      <c r="K12" s="16">
        <f>(I12-J$2)</f>
        <v>0.60350799560546875</v>
      </c>
      <c r="L12" s="18">
        <f t="shared" si="1"/>
        <v>0.65815167467231239</v>
      </c>
      <c r="O12"/>
      <c r="P12"/>
      <c r="Q12" s="2"/>
      <c r="S12"/>
      <c r="T12" s="2"/>
      <c r="Z12" s="18"/>
    </row>
    <row r="13" spans="1:26">
      <c r="A13" t="s">
        <v>521</v>
      </c>
      <c r="B13" t="s">
        <v>512</v>
      </c>
      <c r="C13" s="2">
        <v>4.8045392036437988</v>
      </c>
      <c r="E13" t="s">
        <v>502</v>
      </c>
      <c r="F13" s="2">
        <v>23.180999755859375</v>
      </c>
      <c r="H13" s="16">
        <f>(F13-C17)</f>
        <v>18.480762481689453</v>
      </c>
      <c r="I13" s="16">
        <v>18.480762481689453</v>
      </c>
      <c r="K13" s="16">
        <f>(I13-J$2)</f>
        <v>0.56850814819335938</v>
      </c>
      <c r="L13" s="18">
        <f t="shared" si="1"/>
        <v>0.67431371755660408</v>
      </c>
      <c r="O13"/>
      <c r="P13"/>
      <c r="Q13" s="2"/>
      <c r="S13"/>
      <c r="T13" s="2"/>
      <c r="Z13" s="18"/>
    </row>
    <row r="14" spans="1:26">
      <c r="A14" t="s">
        <v>522</v>
      </c>
      <c r="B14" t="s">
        <v>512</v>
      </c>
      <c r="C14" s="2">
        <v>4.7002372741699219</v>
      </c>
      <c r="D14" s="19">
        <f>AVERAGE(C14:C17)</f>
        <v>4.7002372741699219</v>
      </c>
      <c r="E14" t="s">
        <v>502</v>
      </c>
      <c r="F14" s="2">
        <v>22.898000717163086</v>
      </c>
      <c r="G14" s="19">
        <f>AVERAGE(F14:F17)</f>
        <v>23.142000198364258</v>
      </c>
      <c r="H14" s="20">
        <f>(F14-C21)</f>
        <v>18.344322204589844</v>
      </c>
      <c r="I14" s="16">
        <v>18.344322204589844</v>
      </c>
      <c r="J14" s="16">
        <f>AVERAGE(I14:I17)</f>
        <v>18.588321685791016</v>
      </c>
      <c r="K14" s="16">
        <f>(I14-J$2)</f>
        <v>0.43206787109375</v>
      </c>
      <c r="L14" s="18">
        <f t="shared" si="1"/>
        <v>0.74119863464545532</v>
      </c>
      <c r="O14"/>
      <c r="P14"/>
      <c r="Q14" s="2"/>
      <c r="S14"/>
      <c r="T14" s="2"/>
      <c r="Z14" s="18"/>
    </row>
    <row r="15" spans="1:26">
      <c r="A15" t="s">
        <v>522</v>
      </c>
      <c r="B15" t="s">
        <v>512</v>
      </c>
      <c r="C15" s="2">
        <v>4.7002372741699219</v>
      </c>
      <c r="E15" t="s">
        <v>502</v>
      </c>
      <c r="F15" s="2">
        <v>23.143999099731445</v>
      </c>
      <c r="H15" s="16">
        <f>(F15-C19)</f>
        <v>18.590320587158203</v>
      </c>
      <c r="I15" s="16">
        <v>18.590320587158203</v>
      </c>
      <c r="K15" s="16">
        <f>(I15-J$2)</f>
        <v>0.67806625366210938</v>
      </c>
      <c r="L15" s="18">
        <f t="shared" si="1"/>
        <v>0.62500244830917029</v>
      </c>
      <c r="O15"/>
      <c r="P15"/>
      <c r="Q15" s="2"/>
      <c r="R15" s="19"/>
      <c r="S15"/>
      <c r="T15" s="2"/>
      <c r="U15" s="19"/>
      <c r="Z15" s="18"/>
    </row>
    <row r="16" spans="1:26">
      <c r="A16" t="s">
        <v>522</v>
      </c>
      <c r="B16" t="s">
        <v>512</v>
      </c>
      <c r="C16" s="2">
        <v>4.7002372741699219</v>
      </c>
      <c r="E16" t="s">
        <v>502</v>
      </c>
      <c r="F16" s="2">
        <v>23.13800048828125</v>
      </c>
      <c r="H16" s="16">
        <f>(F16-C20)</f>
        <v>18.584321975708008</v>
      </c>
      <c r="I16" s="16">
        <v>18.584321975708008</v>
      </c>
      <c r="K16" s="16">
        <f>(I16-J$2)</f>
        <v>0.67206764221191406</v>
      </c>
      <c r="L16" s="18">
        <f t="shared" si="1"/>
        <v>0.62760656898456535</v>
      </c>
      <c r="O16"/>
      <c r="P16"/>
      <c r="Q16" s="2"/>
      <c r="S16"/>
      <c r="T16" s="2"/>
      <c r="Z16" s="18"/>
    </row>
    <row r="17" spans="1:26">
      <c r="A17" t="s">
        <v>522</v>
      </c>
      <c r="B17" t="s">
        <v>512</v>
      </c>
      <c r="C17" s="2">
        <v>4.7002372741699219</v>
      </c>
      <c r="E17" t="s">
        <v>502</v>
      </c>
      <c r="F17" s="2">
        <v>23.38800048828125</v>
      </c>
      <c r="H17" s="16">
        <f>(F17-C21)</f>
        <v>18.834321975708008</v>
      </c>
      <c r="I17" s="16">
        <v>18.834321975708008</v>
      </c>
      <c r="K17" s="16">
        <f>(I17-J$2)</f>
        <v>0.92206764221191406</v>
      </c>
      <c r="L17" s="18">
        <f t="shared" si="1"/>
        <v>0.52775211404880418</v>
      </c>
      <c r="O17"/>
      <c r="P17"/>
      <c r="Q17" s="2"/>
      <c r="S17"/>
      <c r="T17" s="2"/>
      <c r="Z17" s="18"/>
    </row>
    <row r="18" spans="1:26">
      <c r="A18" t="s">
        <v>523</v>
      </c>
      <c r="B18" t="s">
        <v>512</v>
      </c>
      <c r="C18" s="2">
        <v>4.5536785125732422</v>
      </c>
      <c r="D18" s="19">
        <f>AVERAGE(C18:C21)</f>
        <v>4.5536785125732422</v>
      </c>
      <c r="E18" t="s">
        <v>502</v>
      </c>
      <c r="F18" s="2">
        <v>23.343000411987305</v>
      </c>
      <c r="G18" s="19">
        <f>AVERAGE(F18:F21)</f>
        <v>23.625250339508057</v>
      </c>
      <c r="H18" s="16">
        <f>(F18-C22)</f>
        <v>18.689905166625977</v>
      </c>
      <c r="I18" s="16">
        <v>18.689905166625977</v>
      </c>
      <c r="J18" s="16">
        <f>AVERAGE(I18:I21)</f>
        <v>18.972155094146729</v>
      </c>
      <c r="K18" s="16">
        <f>(I18-J$2)</f>
        <v>0.77765083312988281</v>
      </c>
      <c r="L18" s="18">
        <f t="shared" si="1"/>
        <v>0.58331584426387018</v>
      </c>
      <c r="O18"/>
      <c r="P18"/>
      <c r="Q18" s="2"/>
      <c r="S18"/>
      <c r="T18" s="2"/>
      <c r="Z18" s="18"/>
    </row>
    <row r="19" spans="1:26">
      <c r="A19" t="s">
        <v>523</v>
      </c>
      <c r="B19" t="s">
        <v>512</v>
      </c>
      <c r="C19" s="2">
        <v>4.5536785125732422</v>
      </c>
      <c r="E19" t="s">
        <v>502</v>
      </c>
      <c r="F19" s="2">
        <v>23.677999496459961</v>
      </c>
      <c r="H19" s="16">
        <f>(F19-C23)</f>
        <v>19.024904251098633</v>
      </c>
      <c r="I19" s="16">
        <v>19.024904251098633</v>
      </c>
      <c r="K19" s="16">
        <f>(I19-J$2)</f>
        <v>1.1126499176025391</v>
      </c>
      <c r="L19" s="18">
        <f t="shared" si="1"/>
        <v>0.46244384143037903</v>
      </c>
      <c r="O19"/>
      <c r="P19"/>
      <c r="Q19" s="2"/>
      <c r="R19" s="19"/>
      <c r="S19"/>
      <c r="T19" s="2"/>
      <c r="U19" s="19"/>
      <c r="Z19" s="18"/>
    </row>
    <row r="20" spans="1:26">
      <c r="A20" t="s">
        <v>523</v>
      </c>
      <c r="B20" t="s">
        <v>512</v>
      </c>
      <c r="C20" s="2">
        <v>4.5536785125732422</v>
      </c>
      <c r="E20" t="s">
        <v>502</v>
      </c>
      <c r="F20" s="2">
        <v>23.735000610351562</v>
      </c>
      <c r="H20" s="16">
        <f>(F20-C24)</f>
        <v>19.081905364990234</v>
      </c>
      <c r="I20" s="16">
        <v>19.081905364990234</v>
      </c>
      <c r="K20" s="16">
        <f>(I20-J$2)</f>
        <v>1.1696510314941406</v>
      </c>
      <c r="L20" s="18">
        <f t="shared" si="1"/>
        <v>0.44452885312425072</v>
      </c>
      <c r="O20"/>
      <c r="P20"/>
      <c r="Q20" s="2"/>
      <c r="S20"/>
      <c r="T20" s="2"/>
      <c r="Z20" s="18"/>
    </row>
    <row r="21" spans="1:26">
      <c r="A21" t="s">
        <v>523</v>
      </c>
      <c r="B21" t="s">
        <v>512</v>
      </c>
      <c r="C21" s="2">
        <v>4.5536785125732422</v>
      </c>
      <c r="E21" t="s">
        <v>502</v>
      </c>
      <c r="F21" s="2">
        <v>23.745000839233398</v>
      </c>
      <c r="H21" s="16">
        <f>(F21-C25)</f>
        <v>19.09190559387207</v>
      </c>
      <c r="I21" s="16">
        <v>19.09190559387207</v>
      </c>
      <c r="K21" s="16">
        <f>(I21-J$2)</f>
        <v>1.1796512603759766</v>
      </c>
      <c r="L21" s="18">
        <f t="shared" si="1"/>
        <v>0.44145819800610714</v>
      </c>
      <c r="O21"/>
      <c r="P21"/>
      <c r="Q21" s="2"/>
      <c r="S21"/>
      <c r="T21" s="2"/>
      <c r="Z21" s="18"/>
    </row>
    <row r="22" spans="1:26">
      <c r="A22" s="13" t="s">
        <v>526</v>
      </c>
      <c r="B22" t="s">
        <v>512</v>
      </c>
      <c r="C22" s="2">
        <v>4.6530952453613281</v>
      </c>
      <c r="D22" s="19">
        <f>AVERAGE(C22:C25)</f>
        <v>4.6530952453613281</v>
      </c>
      <c r="E22" t="s">
        <v>502</v>
      </c>
      <c r="F22" s="2">
        <v>23.184999465942383</v>
      </c>
      <c r="G22" s="19">
        <f>AVERAGE(F22:F25)</f>
        <v>23.225749969482422</v>
      </c>
      <c r="H22" s="16">
        <f>(F22-C26)</f>
        <v>18.507503986358643</v>
      </c>
      <c r="I22" s="16">
        <v>18.507503986358643</v>
      </c>
      <c r="J22" s="16">
        <f>AVERAGE(I22:I25)</f>
        <v>18.548254489898682</v>
      </c>
      <c r="K22" s="16">
        <f>(I22-J$2)</f>
        <v>0.59524965286254883</v>
      </c>
      <c r="L22" s="18">
        <f t="shared" ref="L22:L25" si="2">2^(-K22)</f>
        <v>0.6619299008470787</v>
      </c>
      <c r="O22"/>
      <c r="P22"/>
      <c r="Q22" s="2"/>
      <c r="S22"/>
      <c r="T22" s="2"/>
      <c r="Z22" s="18"/>
    </row>
    <row r="23" spans="1:26">
      <c r="A23" s="13" t="s">
        <v>526</v>
      </c>
      <c r="B23" t="s">
        <v>512</v>
      </c>
      <c r="C23" s="2">
        <v>4.6530952453613281</v>
      </c>
      <c r="E23" t="s">
        <v>502</v>
      </c>
      <c r="F23" s="2">
        <v>23.268999099731445</v>
      </c>
      <c r="H23" s="16">
        <f>(F23-C27)</f>
        <v>18.591503620147705</v>
      </c>
      <c r="I23" s="16">
        <v>18.591503620147705</v>
      </c>
      <c r="K23" s="16">
        <f>(I23-J$2)</f>
        <v>0.67924928665161133</v>
      </c>
      <c r="L23" s="18">
        <f t="shared" si="2"/>
        <v>0.624490146389866</v>
      </c>
      <c r="O23"/>
      <c r="P23"/>
      <c r="Q23" s="2"/>
      <c r="R23" s="19"/>
      <c r="S23"/>
      <c r="T23" s="2"/>
      <c r="U23" s="19"/>
      <c r="Z23" s="18"/>
    </row>
    <row r="24" spans="1:26">
      <c r="A24" s="13" t="s">
        <v>526</v>
      </c>
      <c r="B24" t="s">
        <v>512</v>
      </c>
      <c r="C24" s="2">
        <v>4.6530952453613281</v>
      </c>
      <c r="E24" t="s">
        <v>502</v>
      </c>
      <c r="F24" s="2">
        <v>23.145000457763672</v>
      </c>
      <c r="H24" s="16">
        <f>(F24-C28)</f>
        <v>18.467504978179932</v>
      </c>
      <c r="I24" s="16">
        <v>18.467504978179932</v>
      </c>
      <c r="K24" s="16">
        <f>(I24-J$2)</f>
        <v>0.55525064468383789</v>
      </c>
      <c r="L24" s="18">
        <f t="shared" si="2"/>
        <v>0.68053881548224759</v>
      </c>
      <c r="O24"/>
      <c r="P24"/>
      <c r="Q24" s="2"/>
      <c r="S24"/>
      <c r="T24" s="2"/>
      <c r="Z24" s="18"/>
    </row>
    <row r="25" spans="1:26">
      <c r="A25" s="13" t="s">
        <v>526</v>
      </c>
      <c r="B25" t="s">
        <v>512</v>
      </c>
      <c r="C25" s="2">
        <v>4.6530952453613281</v>
      </c>
      <c r="E25" t="s">
        <v>502</v>
      </c>
      <c r="F25" s="2">
        <v>23.304000854492188</v>
      </c>
      <c r="H25" s="16">
        <f>(F25-C29)</f>
        <v>18.626505374908447</v>
      </c>
      <c r="I25" s="16">
        <v>18.626505374908447</v>
      </c>
      <c r="K25" s="16">
        <f>(I25-J$2)</f>
        <v>0.71425104141235352</v>
      </c>
      <c r="L25" s="18">
        <f t="shared" si="2"/>
        <v>0.60952147580233362</v>
      </c>
      <c r="O25"/>
      <c r="P25"/>
      <c r="Q25" s="2"/>
      <c r="S25"/>
      <c r="T25" s="2"/>
      <c r="Z25" s="18"/>
    </row>
    <row r="26" spans="1:26">
      <c r="A26" t="s">
        <v>519</v>
      </c>
      <c r="B26" t="s">
        <v>512</v>
      </c>
      <c r="C26" s="2">
        <v>4.6774954795837402</v>
      </c>
      <c r="D26" s="19">
        <f>AVERAGE(C26:C29)</f>
        <v>4.6774954795837402</v>
      </c>
      <c r="E26" t="s">
        <v>501</v>
      </c>
      <c r="F26" s="2">
        <v>21.746000289916992</v>
      </c>
      <c r="G26" s="19">
        <f>AVERAGE(F26:F29)</f>
        <v>21.736250400543213</v>
      </c>
      <c r="H26" s="16">
        <f t="shared" ref="H26:I37" si="3">(F26-C26)</f>
        <v>17.068504810333252</v>
      </c>
      <c r="I26" s="16">
        <v>17.068504810333252</v>
      </c>
      <c r="J26" s="16">
        <f>AVERAGE(I26:I29)</f>
        <v>17.058754920959473</v>
      </c>
      <c r="K26" s="16">
        <f>(I26-J$2)</f>
        <v>-0.8437495231628418</v>
      </c>
      <c r="L26" s="18">
        <f t="shared" ref="L26:L49" si="4">2^(-K26)</f>
        <v>1.7947084818189556</v>
      </c>
      <c r="O26"/>
      <c r="P26"/>
      <c r="Q26" s="2"/>
      <c r="S26"/>
      <c r="T26" s="2"/>
      <c r="Z26" s="18"/>
    </row>
    <row r="27" spans="1:26">
      <c r="A27" t="s">
        <v>519</v>
      </c>
      <c r="B27" t="s">
        <v>512</v>
      </c>
      <c r="C27" s="2">
        <v>4.6774954795837402</v>
      </c>
      <c r="E27" t="s">
        <v>501</v>
      </c>
      <c r="F27" s="2">
        <v>21.704999923706055</v>
      </c>
      <c r="H27" s="16">
        <f t="shared" si="3"/>
        <v>17.027504444122314</v>
      </c>
      <c r="I27" s="16">
        <v>17.027504444122314</v>
      </c>
      <c r="K27" s="16">
        <f>(I27-J$2)</f>
        <v>-0.8847498893737793</v>
      </c>
      <c r="L27" s="18">
        <f t="shared" si="4"/>
        <v>1.8464444876763353</v>
      </c>
      <c r="O27" s="13"/>
      <c r="P27"/>
      <c r="Q27" s="2"/>
      <c r="R27" s="19"/>
      <c r="S27"/>
      <c r="T27" s="2"/>
      <c r="U27" s="19"/>
      <c r="Z27" s="18"/>
    </row>
    <row r="28" spans="1:26">
      <c r="A28" t="s">
        <v>519</v>
      </c>
      <c r="B28" t="s">
        <v>512</v>
      </c>
      <c r="C28" s="2">
        <v>4.6774954795837402</v>
      </c>
      <c r="E28" t="s">
        <v>501</v>
      </c>
      <c r="F28" s="2">
        <v>21.756000518798828</v>
      </c>
      <c r="H28" s="16">
        <f t="shared" si="3"/>
        <v>17.078505039215088</v>
      </c>
      <c r="I28" s="16">
        <v>17.078505039215088</v>
      </c>
      <c r="K28" s="16">
        <f>(I28-J$2)</f>
        <v>-0.83374929428100586</v>
      </c>
      <c r="L28" s="18">
        <f t="shared" si="4"/>
        <v>1.78231124203004</v>
      </c>
      <c r="O28" s="13"/>
      <c r="P28"/>
      <c r="Q28" s="2"/>
      <c r="S28"/>
      <c r="T28" s="2"/>
      <c r="Z28" s="18"/>
    </row>
    <row r="29" spans="1:26">
      <c r="A29" t="s">
        <v>519</v>
      </c>
      <c r="B29" t="s">
        <v>512</v>
      </c>
      <c r="C29" s="2">
        <v>4.6774954795837402</v>
      </c>
      <c r="E29" t="s">
        <v>501</v>
      </c>
      <c r="F29" s="2">
        <v>21.738000869750977</v>
      </c>
      <c r="H29" s="16">
        <f t="shared" si="3"/>
        <v>17.060505390167236</v>
      </c>
      <c r="I29" s="16">
        <v>17.060505390167236</v>
      </c>
      <c r="K29" s="16">
        <f>(I29-J$2)</f>
        <v>-0.85174894332885742</v>
      </c>
      <c r="L29" s="18">
        <f t="shared" si="4"/>
        <v>1.8046873773013472</v>
      </c>
      <c r="O29" s="13"/>
      <c r="P29"/>
      <c r="Q29" s="2"/>
      <c r="S29"/>
      <c r="T29" s="2"/>
      <c r="Z29" s="18"/>
    </row>
    <row r="30" spans="1:26">
      <c r="A30" t="s">
        <v>520</v>
      </c>
      <c r="B30" t="s">
        <v>512</v>
      </c>
      <c r="C30" s="2">
        <v>4.6805324554443359</v>
      </c>
      <c r="D30" s="19">
        <f>AVERAGE(C30:C33)</f>
        <v>4.6805324554443359</v>
      </c>
      <c r="E30" t="s">
        <v>501</v>
      </c>
      <c r="F30" s="2">
        <v>22.035999298095703</v>
      </c>
      <c r="G30" s="19">
        <f>AVERAGE(F30:F33)</f>
        <v>22.027249813079834</v>
      </c>
      <c r="H30" s="16">
        <f t="shared" si="3"/>
        <v>17.355466842651367</v>
      </c>
      <c r="I30" s="16">
        <v>17.355466842651367</v>
      </c>
      <c r="J30" s="16">
        <f>AVERAGE(I30:I33)</f>
        <v>17.346717357635498</v>
      </c>
      <c r="K30" s="16">
        <f>(I30-J$2)</f>
        <v>-0.55678749084472656</v>
      </c>
      <c r="L30" s="18">
        <f t="shared" si="4"/>
        <v>1.470990052882692</v>
      </c>
      <c r="O30" s="13"/>
      <c r="P30"/>
      <c r="Q30" s="2"/>
      <c r="S30"/>
      <c r="T30" s="2"/>
      <c r="Z30" s="18"/>
    </row>
    <row r="31" spans="1:26">
      <c r="A31" t="s">
        <v>520</v>
      </c>
      <c r="B31" t="s">
        <v>512</v>
      </c>
      <c r="C31" s="2">
        <v>4.6805324554443359</v>
      </c>
      <c r="E31" t="s">
        <v>501</v>
      </c>
      <c r="F31" s="2">
        <v>22.017000198364258</v>
      </c>
      <c r="H31" s="16">
        <f t="shared" si="3"/>
        <v>17.336467742919922</v>
      </c>
      <c r="I31" s="16">
        <v>17.336467742919922</v>
      </c>
      <c r="K31" s="16">
        <f>(I31-J$2)</f>
        <v>-0.57578659057617188</v>
      </c>
      <c r="L31" s="18">
        <f t="shared" si="4"/>
        <v>1.4904898910550448</v>
      </c>
      <c r="O31"/>
      <c r="P31"/>
      <c r="Q31" s="2"/>
      <c r="R31" s="19"/>
      <c r="S31"/>
      <c r="T31" s="2"/>
      <c r="U31" s="19"/>
      <c r="Z31" s="18"/>
    </row>
    <row r="32" spans="1:26">
      <c r="A32" t="s">
        <v>520</v>
      </c>
      <c r="B32" t="s">
        <v>512</v>
      </c>
      <c r="C32" s="2">
        <v>4.6805324554443359</v>
      </c>
      <c r="E32" t="s">
        <v>501</v>
      </c>
      <c r="F32" s="2">
        <v>22.025999069213867</v>
      </c>
      <c r="H32" s="16">
        <f t="shared" si="3"/>
        <v>17.345466613769531</v>
      </c>
      <c r="I32" s="16">
        <v>17.345466613769531</v>
      </c>
      <c r="K32" s="16">
        <f>(I32-J$2)</f>
        <v>-0.5667877197265625</v>
      </c>
      <c r="L32" s="18">
        <f t="shared" si="4"/>
        <v>1.4812218328224995</v>
      </c>
      <c r="O32"/>
      <c r="P32"/>
      <c r="Q32" s="2"/>
      <c r="S32"/>
      <c r="T32" s="2"/>
      <c r="Z32" s="18"/>
    </row>
    <row r="33" spans="1:26">
      <c r="A33" t="s">
        <v>520</v>
      </c>
      <c r="B33" t="s">
        <v>512</v>
      </c>
      <c r="C33" s="2">
        <v>4.6805324554443359</v>
      </c>
      <c r="E33" t="s">
        <v>501</v>
      </c>
      <c r="F33" s="2">
        <v>22.030000686645508</v>
      </c>
      <c r="H33" s="16">
        <f t="shared" si="3"/>
        <v>17.349468231201172</v>
      </c>
      <c r="I33" s="16">
        <v>17.349468231201172</v>
      </c>
      <c r="K33" s="16">
        <f>(I33-J$2)</f>
        <v>-0.56278610229492188</v>
      </c>
      <c r="L33" s="18">
        <f t="shared" si="4"/>
        <v>1.4771190458496404</v>
      </c>
      <c r="O33"/>
      <c r="P33"/>
      <c r="Q33" s="2"/>
      <c r="S33"/>
      <c r="T33" s="2"/>
      <c r="Z33" s="18"/>
    </row>
    <row r="34" spans="1:26">
      <c r="A34" t="s">
        <v>521</v>
      </c>
      <c r="B34" t="s">
        <v>512</v>
      </c>
      <c r="C34" s="2">
        <v>4.8045392036437988</v>
      </c>
      <c r="D34" s="19">
        <f>AVERAGE(C34:C37)</f>
        <v>4.8045392036437988</v>
      </c>
      <c r="E34" t="s">
        <v>501</v>
      </c>
      <c r="F34" s="2">
        <v>22.499000549316406</v>
      </c>
      <c r="G34" s="19">
        <f>AVERAGE(F34:F37)</f>
        <v>22.4830002784729</v>
      </c>
      <c r="H34" s="16">
        <f t="shared" si="3"/>
        <v>17.694461345672607</v>
      </c>
      <c r="I34" s="16">
        <v>17.694461345672607</v>
      </c>
      <c r="J34" s="16">
        <f>AVERAGE(I34:I37)</f>
        <v>17.678461074829102</v>
      </c>
      <c r="K34" s="16">
        <f>(I34-J$2)</f>
        <v>-0.21779298782348633</v>
      </c>
      <c r="L34" s="18">
        <f t="shared" si="4"/>
        <v>1.1629531575352223</v>
      </c>
      <c r="O34"/>
      <c r="P34"/>
      <c r="Q34" s="2"/>
      <c r="S34"/>
      <c r="T34" s="2"/>
      <c r="Z34" s="18"/>
    </row>
    <row r="35" spans="1:26">
      <c r="A35" t="s">
        <v>521</v>
      </c>
      <c r="B35" t="s">
        <v>512</v>
      </c>
      <c r="C35" s="2">
        <v>4.8045392036437988</v>
      </c>
      <c r="E35" t="s">
        <v>501</v>
      </c>
      <c r="F35" s="2">
        <v>22.444999694824219</v>
      </c>
      <c r="H35" s="16">
        <f t="shared" si="3"/>
        <v>17.64046049118042</v>
      </c>
      <c r="I35" s="16">
        <v>17.64046049118042</v>
      </c>
      <c r="K35" s="16">
        <f>(I35-J$2)</f>
        <v>-0.27179384231567383</v>
      </c>
      <c r="L35" s="18">
        <f t="shared" si="4"/>
        <v>1.2073080577142508</v>
      </c>
      <c r="O35"/>
      <c r="P35"/>
      <c r="Q35" s="2"/>
      <c r="R35" s="19"/>
      <c r="S35"/>
      <c r="T35" s="2"/>
      <c r="U35" s="19"/>
      <c r="Z35" s="18"/>
    </row>
    <row r="36" spans="1:26">
      <c r="A36" t="s">
        <v>521</v>
      </c>
      <c r="B36" t="s">
        <v>512</v>
      </c>
      <c r="C36" s="2">
        <v>4.8045392036437988</v>
      </c>
      <c r="E36" t="s">
        <v>501</v>
      </c>
      <c r="F36" s="2">
        <v>22.485000610351562</v>
      </c>
      <c r="H36" s="16">
        <f t="shared" si="3"/>
        <v>17.680461406707764</v>
      </c>
      <c r="I36" s="16">
        <v>17.680461406707764</v>
      </c>
      <c r="K36" s="16">
        <f>(I36-J$2)</f>
        <v>-0.23179292678833008</v>
      </c>
      <c r="L36" s="18">
        <f t="shared" si="4"/>
        <v>1.1742934101852887</v>
      </c>
      <c r="O36"/>
      <c r="P36"/>
      <c r="Q36" s="2"/>
      <c r="S36"/>
      <c r="T36" s="2"/>
      <c r="Z36" s="18"/>
    </row>
    <row r="37" spans="1:26">
      <c r="A37" t="s">
        <v>521</v>
      </c>
      <c r="B37" t="s">
        <v>512</v>
      </c>
      <c r="C37" s="2">
        <v>4.8045392036437988</v>
      </c>
      <c r="E37" t="s">
        <v>501</v>
      </c>
      <c r="F37" s="2">
        <v>22.503000259399414</v>
      </c>
      <c r="H37" s="16">
        <f t="shared" si="3"/>
        <v>17.698461055755615</v>
      </c>
      <c r="I37" s="16">
        <v>17.698461055755615</v>
      </c>
      <c r="K37" s="16">
        <f>(I37-J$2)</f>
        <v>-0.21379327774047852</v>
      </c>
      <c r="L37" s="18">
        <f t="shared" si="4"/>
        <v>1.1597334656070741</v>
      </c>
      <c r="O37"/>
      <c r="P37"/>
      <c r="Q37" s="2"/>
      <c r="S37"/>
      <c r="T37" s="2"/>
      <c r="Z37" s="18"/>
    </row>
    <row r="38" spans="1:26">
      <c r="A38" t="s">
        <v>522</v>
      </c>
      <c r="B38" t="s">
        <v>512</v>
      </c>
      <c r="C38" s="2">
        <v>4.7002372741699219</v>
      </c>
      <c r="D38" s="19">
        <f>AVERAGE(C38:C41)</f>
        <v>4.7002372741699219</v>
      </c>
      <c r="E38" t="s">
        <v>501</v>
      </c>
      <c r="F38" s="2">
        <v>22.197000503540039</v>
      </c>
      <c r="G38" s="19">
        <f>AVERAGE(F38:F41)</f>
        <v>22.137000560760498</v>
      </c>
      <c r="H38" s="20">
        <f>(F38-C41)</f>
        <v>17.496763229370117</v>
      </c>
      <c r="I38" s="16">
        <v>17.496763229370117</v>
      </c>
      <c r="J38" s="16">
        <f>AVERAGE(I38:I41)</f>
        <v>17.436763286590576</v>
      </c>
      <c r="K38" s="16">
        <f>(I38-J$2)</f>
        <v>-0.41549110412597656</v>
      </c>
      <c r="L38" s="18">
        <f t="shared" si="4"/>
        <v>1.3337526191392406</v>
      </c>
      <c r="O38"/>
      <c r="P38"/>
      <c r="Q38" s="2"/>
      <c r="S38"/>
      <c r="T38" s="2"/>
      <c r="Z38" s="18"/>
    </row>
    <row r="39" spans="1:26">
      <c r="A39" t="s">
        <v>522</v>
      </c>
      <c r="B39" t="s">
        <v>512</v>
      </c>
      <c r="C39" s="2">
        <v>4.7002372741699219</v>
      </c>
      <c r="E39" t="s">
        <v>501</v>
      </c>
      <c r="F39" s="2">
        <v>22.103000640869141</v>
      </c>
      <c r="H39" s="16">
        <f t="shared" ref="H39:I49" si="5">(F39-C39)</f>
        <v>17.402763366699219</v>
      </c>
      <c r="I39" s="16">
        <v>17.402763366699219</v>
      </c>
      <c r="K39" s="16">
        <f>(I39-J$2)</f>
        <v>-0.509490966796875</v>
      </c>
      <c r="L39" s="18">
        <f t="shared" si="4"/>
        <v>1.4235478295779731</v>
      </c>
      <c r="O39"/>
      <c r="P39"/>
      <c r="Q39" s="2"/>
      <c r="R39" s="19"/>
      <c r="S39"/>
      <c r="T39" s="2"/>
      <c r="U39" s="19"/>
      <c r="Z39" s="18"/>
    </row>
    <row r="40" spans="1:26">
      <c r="A40" t="s">
        <v>522</v>
      </c>
      <c r="B40" t="s">
        <v>512</v>
      </c>
      <c r="C40" s="2">
        <v>4.7002372741699219</v>
      </c>
      <c r="E40" t="s">
        <v>501</v>
      </c>
      <c r="F40" s="2">
        <v>22.089000701904297</v>
      </c>
      <c r="H40" s="16">
        <f t="shared" si="5"/>
        <v>17.388763427734375</v>
      </c>
      <c r="I40" s="16">
        <v>17.388763427734375</v>
      </c>
      <c r="K40" s="16">
        <f>(I40-J$2)</f>
        <v>-0.52349090576171875</v>
      </c>
      <c r="L40" s="18">
        <f t="shared" si="4"/>
        <v>1.4374292072949246</v>
      </c>
      <c r="O40"/>
      <c r="P40"/>
      <c r="Q40" s="2"/>
      <c r="S40"/>
      <c r="T40" s="2"/>
      <c r="Z40" s="18"/>
    </row>
    <row r="41" spans="1:26">
      <c r="A41" t="s">
        <v>522</v>
      </c>
      <c r="B41" t="s">
        <v>512</v>
      </c>
      <c r="C41" s="2">
        <v>4.7002372741699219</v>
      </c>
      <c r="E41" t="s">
        <v>501</v>
      </c>
      <c r="F41" s="2">
        <v>22.159000396728516</v>
      </c>
      <c r="H41" s="16">
        <f t="shared" si="5"/>
        <v>17.458763122558594</v>
      </c>
      <c r="I41" s="16">
        <v>17.458763122558594</v>
      </c>
      <c r="K41" s="16">
        <f>(I41-J$2)</f>
        <v>-0.4534912109375</v>
      </c>
      <c r="L41" s="18">
        <f t="shared" si="4"/>
        <v>1.369349972028262</v>
      </c>
      <c r="O41"/>
      <c r="P41"/>
      <c r="Q41" s="2"/>
      <c r="S41"/>
      <c r="T41" s="2"/>
      <c r="Z41" s="18"/>
    </row>
    <row r="42" spans="1:26">
      <c r="A42" t="s">
        <v>523</v>
      </c>
      <c r="B42" t="s">
        <v>512</v>
      </c>
      <c r="C42" s="2">
        <v>4.5536785125732422</v>
      </c>
      <c r="D42" s="19">
        <f>AVERAGE(C42:C45)</f>
        <v>4.5536785125732422</v>
      </c>
      <c r="E42" t="s">
        <v>501</v>
      </c>
      <c r="F42" s="2">
        <v>22.152999877929688</v>
      </c>
      <c r="G42" s="19">
        <f>AVERAGE(F42:F45)</f>
        <v>22.263500213623047</v>
      </c>
      <c r="H42" s="16">
        <f t="shared" si="5"/>
        <v>17.599321365356445</v>
      </c>
      <c r="I42" s="16">
        <v>17.599321365356445</v>
      </c>
      <c r="J42" s="16">
        <f>AVERAGE(I42:I45)</f>
        <v>17.709821701049805</v>
      </c>
      <c r="K42" s="16">
        <f>(I42-J$2)</f>
        <v>-0.31293296813964844</v>
      </c>
      <c r="L42" s="18">
        <f t="shared" si="4"/>
        <v>1.2422305627532244</v>
      </c>
      <c r="O42"/>
      <c r="P42"/>
      <c r="Q42" s="2"/>
      <c r="S42"/>
      <c r="T42" s="2"/>
      <c r="Z42" s="18"/>
    </row>
    <row r="43" spans="1:26">
      <c r="A43" t="s">
        <v>523</v>
      </c>
      <c r="B43" t="s">
        <v>512</v>
      </c>
      <c r="C43" s="2">
        <v>4.5536785125732422</v>
      </c>
      <c r="E43" t="s">
        <v>501</v>
      </c>
      <c r="F43" s="2">
        <v>22.294000625610352</v>
      </c>
      <c r="H43" s="16">
        <f t="shared" si="5"/>
        <v>17.740322113037109</v>
      </c>
      <c r="I43" s="16">
        <v>17.740322113037109</v>
      </c>
      <c r="K43" s="16">
        <f>(I43-J$2)</f>
        <v>-0.17193222045898438</v>
      </c>
      <c r="L43" s="18">
        <f t="shared" si="4"/>
        <v>1.1265662998198471</v>
      </c>
      <c r="O43"/>
      <c r="P43"/>
      <c r="Q43" s="2"/>
      <c r="R43" s="19"/>
      <c r="S43"/>
      <c r="T43" s="2"/>
      <c r="U43" s="19"/>
      <c r="Z43" s="18"/>
    </row>
    <row r="44" spans="1:26">
      <c r="A44" t="s">
        <v>523</v>
      </c>
      <c r="B44" t="s">
        <v>512</v>
      </c>
      <c r="C44" s="2">
        <v>4.5536785125732422</v>
      </c>
      <c r="E44" t="s">
        <v>501</v>
      </c>
      <c r="F44" s="2">
        <v>22.315999984741211</v>
      </c>
      <c r="H44" s="16">
        <f t="shared" si="5"/>
        <v>17.762321472167969</v>
      </c>
      <c r="I44" s="16">
        <v>17.762321472167969</v>
      </c>
      <c r="K44" s="16">
        <f>(I44-J$2)</f>
        <v>-0.149932861328125</v>
      </c>
      <c r="L44" s="18">
        <f t="shared" si="4"/>
        <v>1.1095178372557493</v>
      </c>
      <c r="O44"/>
      <c r="P44"/>
      <c r="Q44" s="2"/>
      <c r="S44"/>
      <c r="T44" s="2"/>
      <c r="Z44" s="18"/>
    </row>
    <row r="45" spans="1:26">
      <c r="A45" t="s">
        <v>523</v>
      </c>
      <c r="B45" t="s">
        <v>512</v>
      </c>
      <c r="C45" s="2">
        <v>4.5536785125732422</v>
      </c>
      <c r="E45" t="s">
        <v>501</v>
      </c>
      <c r="F45" s="2">
        <v>22.291000366210938</v>
      </c>
      <c r="H45" s="16">
        <f t="shared" si="5"/>
        <v>17.737321853637695</v>
      </c>
      <c r="I45" s="16">
        <v>17.737321853637695</v>
      </c>
      <c r="K45" s="16">
        <f>(I45-J$2)</f>
        <v>-0.17493247985839844</v>
      </c>
      <c r="L45" s="18">
        <f t="shared" si="4"/>
        <v>1.1289115689326039</v>
      </c>
      <c r="O45"/>
      <c r="P45"/>
      <c r="Q45" s="2"/>
      <c r="S45"/>
      <c r="T45" s="2"/>
      <c r="Z45" s="18"/>
    </row>
    <row r="46" spans="1:26">
      <c r="A46" t="s">
        <v>524</v>
      </c>
      <c r="B46" t="s">
        <v>512</v>
      </c>
      <c r="C46" s="2">
        <v>4.6530952453613281</v>
      </c>
      <c r="D46" s="19">
        <f>AVERAGE(C46:C49)</f>
        <v>4.6530952453613281</v>
      </c>
      <c r="E46" t="s">
        <v>501</v>
      </c>
      <c r="F46" s="2">
        <v>22.041999816894531</v>
      </c>
      <c r="G46" s="19">
        <f>AVERAGE(F46:F49)</f>
        <v>22.186999797821045</v>
      </c>
      <c r="H46" s="16">
        <f t="shared" si="5"/>
        <v>17.388904571533203</v>
      </c>
      <c r="I46" s="16">
        <v>17.388904571533203</v>
      </c>
      <c r="J46" s="16">
        <f>AVERAGE(I46:I49)</f>
        <v>17.533904552459717</v>
      </c>
      <c r="K46" s="16">
        <f>(I46-J$2)</f>
        <v>-0.52334976196289062</v>
      </c>
      <c r="L46" s="18">
        <f t="shared" si="4"/>
        <v>1.4372885855495046</v>
      </c>
      <c r="O46"/>
      <c r="P46"/>
      <c r="Q46" s="2"/>
      <c r="S46"/>
      <c r="T46" s="2"/>
      <c r="Z46" s="18"/>
    </row>
    <row r="47" spans="1:26">
      <c r="A47" t="s">
        <v>524</v>
      </c>
      <c r="B47" t="s">
        <v>512</v>
      </c>
      <c r="C47" s="2">
        <v>4.6530952453613281</v>
      </c>
      <c r="E47" t="s">
        <v>501</v>
      </c>
      <c r="F47" s="2">
        <v>22.142000198364258</v>
      </c>
      <c r="H47" s="16">
        <f t="shared" si="5"/>
        <v>17.48890495300293</v>
      </c>
      <c r="I47" s="16">
        <v>17.48890495300293</v>
      </c>
      <c r="K47" s="16">
        <f>(I47-J$2)</f>
        <v>-0.42334938049316406</v>
      </c>
      <c r="L47" s="18">
        <f t="shared" si="4"/>
        <v>1.3410373140869811</v>
      </c>
      <c r="O47"/>
      <c r="P47"/>
      <c r="Q47" s="2"/>
      <c r="R47" s="19"/>
      <c r="S47"/>
      <c r="T47" s="2"/>
      <c r="U47" s="19"/>
      <c r="Z47" s="18"/>
    </row>
    <row r="48" spans="1:26">
      <c r="A48" t="s">
        <v>524</v>
      </c>
      <c r="B48" t="s">
        <v>512</v>
      </c>
      <c r="C48" s="2">
        <v>4.6530952453613281</v>
      </c>
      <c r="E48" t="s">
        <v>501</v>
      </c>
      <c r="F48" s="2">
        <v>22.232999801635742</v>
      </c>
      <c r="H48" s="16">
        <f t="shared" si="5"/>
        <v>17.579904556274414</v>
      </c>
      <c r="I48" s="16">
        <v>17.579904556274414</v>
      </c>
      <c r="K48" s="16">
        <f>(I48-J$2)</f>
        <v>-0.33234977722167969</v>
      </c>
      <c r="L48" s="18">
        <f t="shared" si="4"/>
        <v>1.2590623925231608</v>
      </c>
      <c r="O48"/>
      <c r="P48"/>
      <c r="Q48" s="2"/>
      <c r="S48"/>
      <c r="T48" s="2"/>
      <c r="Z48" s="18"/>
    </row>
    <row r="49" spans="1:26">
      <c r="A49" t="s">
        <v>524</v>
      </c>
      <c r="B49" t="s">
        <v>512</v>
      </c>
      <c r="C49" s="2">
        <v>4.6530952453613281</v>
      </c>
      <c r="E49" t="s">
        <v>501</v>
      </c>
      <c r="F49" s="2">
        <v>22.330999374389648</v>
      </c>
      <c r="H49" s="16">
        <f t="shared" si="5"/>
        <v>17.67790412902832</v>
      </c>
      <c r="I49" s="16">
        <v>17.67790412902832</v>
      </c>
      <c r="K49" s="16">
        <f>(I49-J$2)</f>
        <v>-0.23435020446777344</v>
      </c>
      <c r="L49" s="18">
        <f t="shared" si="4"/>
        <v>1.1763767731439263</v>
      </c>
      <c r="O49"/>
      <c r="P49"/>
      <c r="Q49" s="2"/>
      <c r="S49"/>
      <c r="T49" s="2"/>
      <c r="Z49" s="18"/>
    </row>
    <row r="50" spans="1:26">
      <c r="A50" t="s">
        <v>519</v>
      </c>
      <c r="B50" t="s">
        <v>512</v>
      </c>
      <c r="C50" s="2">
        <v>4.6774954795837402</v>
      </c>
      <c r="D50" s="19">
        <f>AVERAGE(C50:C53)</f>
        <v>4.6774954795837402</v>
      </c>
      <c r="E50" t="s">
        <v>518</v>
      </c>
      <c r="F50" s="2">
        <v>19.584999084472656</v>
      </c>
      <c r="G50" s="19">
        <f>AVERAGE(F50:F53)</f>
        <v>19.496749401092529</v>
      </c>
      <c r="H50" s="16">
        <f t="shared" ref="H50:I61" si="6">(F50-C50)</f>
        <v>14.907503604888916</v>
      </c>
      <c r="I50" s="16">
        <v>14.907503604888916</v>
      </c>
      <c r="J50" s="16">
        <f>AVERAGE(I50:I53)</f>
        <v>14.819253921508789</v>
      </c>
      <c r="K50" s="16">
        <f>(I50-J$2)</f>
        <v>-3.0047507286071777</v>
      </c>
      <c r="L50" s="18">
        <f t="shared" ref="L50:L73" si="7">2^(-K50)</f>
        <v>8.0263870549541867</v>
      </c>
      <c r="O50"/>
      <c r="P50"/>
      <c r="Q50" s="2"/>
      <c r="S50"/>
      <c r="T50" s="2"/>
      <c r="Z50" s="18"/>
    </row>
    <row r="51" spans="1:26">
      <c r="A51" t="s">
        <v>519</v>
      </c>
      <c r="B51" t="s">
        <v>512</v>
      </c>
      <c r="C51" s="2">
        <v>4.6774954795837402</v>
      </c>
      <c r="E51" t="s">
        <v>518</v>
      </c>
      <c r="F51" s="2">
        <v>19.538999557495117</v>
      </c>
      <c r="H51" s="16">
        <f t="shared" si="6"/>
        <v>14.861504077911377</v>
      </c>
      <c r="I51" s="16">
        <v>14.861504077911377</v>
      </c>
      <c r="K51" s="16">
        <f>(I51-J$2)</f>
        <v>-3.0507502555847168</v>
      </c>
      <c r="L51" s="18">
        <f t="shared" si="7"/>
        <v>8.2864275238502323</v>
      </c>
      <c r="O51" s="13"/>
      <c r="P51"/>
      <c r="Q51" s="2"/>
      <c r="R51" s="19"/>
      <c r="S51"/>
      <c r="T51" s="2"/>
      <c r="U51" s="19"/>
      <c r="Z51" s="18"/>
    </row>
    <row r="52" spans="1:26">
      <c r="A52" t="s">
        <v>519</v>
      </c>
      <c r="B52" t="s">
        <v>512</v>
      </c>
      <c r="C52" s="2">
        <v>4.6774954795837402</v>
      </c>
      <c r="E52" t="s">
        <v>518</v>
      </c>
      <c r="F52" s="2">
        <v>19.400999069213867</v>
      </c>
      <c r="H52" s="16">
        <f t="shared" si="6"/>
        <v>14.723503589630127</v>
      </c>
      <c r="I52" s="16">
        <v>14.723503589630127</v>
      </c>
      <c r="K52" s="16">
        <f>(I52-J$2)</f>
        <v>-3.1887507438659668</v>
      </c>
      <c r="L52" s="18">
        <f t="shared" si="7"/>
        <v>9.1182106813725241</v>
      </c>
      <c r="O52" s="13"/>
      <c r="P52"/>
      <c r="Q52" s="2"/>
      <c r="S52"/>
      <c r="T52" s="2"/>
      <c r="Z52" s="18"/>
    </row>
    <row r="53" spans="1:26">
      <c r="A53" t="s">
        <v>519</v>
      </c>
      <c r="B53" t="s">
        <v>512</v>
      </c>
      <c r="C53" s="2">
        <v>4.6774954795837402</v>
      </c>
      <c r="E53" t="s">
        <v>518</v>
      </c>
      <c r="F53" s="2">
        <v>19.461999893188477</v>
      </c>
      <c r="H53" s="16">
        <f t="shared" si="6"/>
        <v>14.784504413604736</v>
      </c>
      <c r="I53" s="16">
        <v>14.784504413604736</v>
      </c>
      <c r="K53" s="16">
        <f>(I53-J$2)</f>
        <v>-3.1277499198913574</v>
      </c>
      <c r="L53" s="18">
        <f t="shared" si="7"/>
        <v>8.7407066470935284</v>
      </c>
      <c r="O53" s="13"/>
      <c r="P53"/>
      <c r="Q53" s="2"/>
      <c r="S53"/>
      <c r="T53" s="2"/>
      <c r="Z53" s="18"/>
    </row>
    <row r="54" spans="1:26">
      <c r="A54" t="s">
        <v>520</v>
      </c>
      <c r="B54" t="s">
        <v>512</v>
      </c>
      <c r="C54" s="2">
        <v>4.6805324554443359</v>
      </c>
      <c r="D54" s="19">
        <f>AVERAGE(C54:C57)</f>
        <v>4.6805324554443359</v>
      </c>
      <c r="E54" t="s">
        <v>518</v>
      </c>
      <c r="F54" s="2">
        <v>20.097999572753906</v>
      </c>
      <c r="G54" s="19">
        <f>AVERAGE(F54:F57)</f>
        <v>20.037749767303467</v>
      </c>
      <c r="H54" s="16">
        <f t="shared" si="6"/>
        <v>15.41746711730957</v>
      </c>
      <c r="I54" s="16">
        <v>15.41746711730957</v>
      </c>
      <c r="J54" s="16">
        <f>AVERAGE(I54:I57)</f>
        <v>15.357217311859131</v>
      </c>
      <c r="K54" s="16">
        <f>(I54-J$2)</f>
        <v>-2.4947872161865234</v>
      </c>
      <c r="L54" s="18">
        <f t="shared" si="7"/>
        <v>5.6364516361867461</v>
      </c>
      <c r="O54" s="13"/>
      <c r="P54"/>
      <c r="Q54" s="2"/>
      <c r="S54"/>
      <c r="T54" s="2"/>
      <c r="Z54" s="18"/>
    </row>
    <row r="55" spans="1:26">
      <c r="A55" t="s">
        <v>520</v>
      </c>
      <c r="B55" t="s">
        <v>512</v>
      </c>
      <c r="C55" s="2">
        <v>4.6805324554443359</v>
      </c>
      <c r="E55" t="s">
        <v>518</v>
      </c>
      <c r="F55" s="2">
        <v>20.038000106811523</v>
      </c>
      <c r="H55" s="16">
        <f t="shared" si="6"/>
        <v>15.357467651367188</v>
      </c>
      <c r="I55" s="16">
        <v>15.357467651367188</v>
      </c>
      <c r="K55" s="16">
        <f>(I55-J$2)</f>
        <v>-2.5547866821289062</v>
      </c>
      <c r="L55" s="18">
        <f t="shared" si="7"/>
        <v>5.8758056682523314</v>
      </c>
      <c r="O55"/>
      <c r="P55"/>
      <c r="Q55" s="2"/>
      <c r="R55" s="19"/>
      <c r="S55"/>
      <c r="T55" s="2"/>
      <c r="U55" s="19"/>
      <c r="Z55" s="18"/>
    </row>
    <row r="56" spans="1:26">
      <c r="A56" t="s">
        <v>520</v>
      </c>
      <c r="B56" t="s">
        <v>512</v>
      </c>
      <c r="C56" s="2">
        <v>4.6805324554443359</v>
      </c>
      <c r="E56" t="s">
        <v>518</v>
      </c>
      <c r="F56" s="2">
        <v>20.020999908447266</v>
      </c>
      <c r="H56" s="16">
        <f t="shared" si="6"/>
        <v>15.34046745300293</v>
      </c>
      <c r="I56" s="16">
        <v>15.34046745300293</v>
      </c>
      <c r="K56" s="16">
        <f>(I56-J$2)</f>
        <v>-2.5717868804931641</v>
      </c>
      <c r="L56" s="18">
        <f t="shared" si="7"/>
        <v>5.9454535915071007</v>
      </c>
      <c r="O56"/>
      <c r="P56"/>
      <c r="Q56" s="2"/>
      <c r="S56"/>
      <c r="T56" s="2"/>
      <c r="Z56" s="18"/>
    </row>
    <row r="57" spans="1:26">
      <c r="A57" t="s">
        <v>520</v>
      </c>
      <c r="B57" t="s">
        <v>512</v>
      </c>
      <c r="C57" s="2">
        <v>4.6805324554443359</v>
      </c>
      <c r="E57" t="s">
        <v>518</v>
      </c>
      <c r="F57" s="2">
        <v>19.993999481201172</v>
      </c>
      <c r="H57" s="16">
        <f t="shared" si="6"/>
        <v>15.313467025756836</v>
      </c>
      <c r="I57" s="16">
        <v>15.313467025756836</v>
      </c>
      <c r="K57" s="16">
        <f>(I57-J$2)</f>
        <v>-2.5987873077392578</v>
      </c>
      <c r="L57" s="18">
        <f t="shared" si="7"/>
        <v>6.0577721182550386</v>
      </c>
      <c r="O57"/>
      <c r="P57"/>
      <c r="Q57" s="2"/>
      <c r="S57"/>
      <c r="T57" s="2"/>
      <c r="Z57" s="18"/>
    </row>
    <row r="58" spans="1:26">
      <c r="A58" t="s">
        <v>521</v>
      </c>
      <c r="B58" t="s">
        <v>512</v>
      </c>
      <c r="C58" s="2">
        <v>4.8045392036437988</v>
      </c>
      <c r="D58" s="19">
        <f>AVERAGE(C58:C61)</f>
        <v>4.8045392036437988</v>
      </c>
      <c r="E58" t="s">
        <v>518</v>
      </c>
      <c r="F58" s="2">
        <v>18.211999893188477</v>
      </c>
      <c r="G58" s="19">
        <f>AVERAGE(F58:F61)</f>
        <v>18.242000102996826</v>
      </c>
      <c r="H58" s="16">
        <f t="shared" si="6"/>
        <v>13.407460689544678</v>
      </c>
      <c r="I58" s="16">
        <v>13.407460689544678</v>
      </c>
      <c r="J58" s="16">
        <f>AVERAGE(I58:I61)</f>
        <v>13.437460899353027</v>
      </c>
      <c r="K58" s="16">
        <f>(I58-J$2)</f>
        <v>-4.504793643951416</v>
      </c>
      <c r="L58" s="18">
        <f t="shared" si="7"/>
        <v>22.702726179946378</v>
      </c>
      <c r="O58"/>
      <c r="P58"/>
      <c r="Q58" s="2"/>
      <c r="S58"/>
      <c r="T58" s="2"/>
      <c r="Z58" s="18"/>
    </row>
    <row r="59" spans="1:26">
      <c r="A59" t="s">
        <v>521</v>
      </c>
      <c r="B59" t="s">
        <v>512</v>
      </c>
      <c r="C59" s="2">
        <v>4.8045392036437988</v>
      </c>
      <c r="E59" t="s">
        <v>518</v>
      </c>
      <c r="F59" s="2">
        <v>18.264999389648438</v>
      </c>
      <c r="H59" s="16">
        <f t="shared" si="6"/>
        <v>13.460460186004639</v>
      </c>
      <c r="I59" s="16">
        <v>13.460460186004639</v>
      </c>
      <c r="K59" s="16">
        <f>(I59-J$2)</f>
        <v>-4.4517941474914551</v>
      </c>
      <c r="L59" s="18">
        <f t="shared" si="7"/>
        <v>21.883842119882456</v>
      </c>
      <c r="O59"/>
      <c r="P59"/>
      <c r="Q59" s="2"/>
      <c r="R59" s="19"/>
      <c r="S59"/>
      <c r="T59" s="2"/>
      <c r="U59" s="19"/>
      <c r="Z59" s="18"/>
    </row>
    <row r="60" spans="1:26">
      <c r="A60" t="s">
        <v>521</v>
      </c>
      <c r="B60" t="s">
        <v>512</v>
      </c>
      <c r="C60" s="2">
        <v>4.8045392036437988</v>
      </c>
      <c r="E60" t="s">
        <v>518</v>
      </c>
      <c r="F60" s="2">
        <v>18.291000366210938</v>
      </c>
      <c r="H60" s="16">
        <f t="shared" si="6"/>
        <v>13.486461162567139</v>
      </c>
      <c r="I60" s="16">
        <v>13.486461162567139</v>
      </c>
      <c r="K60" s="16">
        <f>(I60-J$2)</f>
        <v>-4.4257931709289551</v>
      </c>
      <c r="L60" s="18">
        <f t="shared" si="7"/>
        <v>21.492973293797597</v>
      </c>
      <c r="O60"/>
      <c r="P60"/>
      <c r="Q60" s="2"/>
      <c r="S60"/>
      <c r="T60" s="2"/>
      <c r="Z60" s="18"/>
    </row>
    <row r="61" spans="1:26">
      <c r="A61" t="s">
        <v>521</v>
      </c>
      <c r="B61" t="s">
        <v>512</v>
      </c>
      <c r="C61" s="2">
        <v>4.8045392036437988</v>
      </c>
      <c r="E61" t="s">
        <v>518</v>
      </c>
      <c r="F61" s="2">
        <v>18.200000762939453</v>
      </c>
      <c r="H61" s="16">
        <f t="shared" si="6"/>
        <v>13.395461559295654</v>
      </c>
      <c r="I61" s="16">
        <v>13.395461559295654</v>
      </c>
      <c r="K61" s="16">
        <f>(I61-J$2)</f>
        <v>-4.5167927742004395</v>
      </c>
      <c r="L61" s="18">
        <f t="shared" si="7"/>
        <v>22.892335875346486</v>
      </c>
      <c r="O61"/>
      <c r="P61"/>
      <c r="Q61" s="2"/>
      <c r="S61"/>
      <c r="T61" s="2"/>
      <c r="Z61" s="18"/>
    </row>
    <row r="62" spans="1:26">
      <c r="A62" t="s">
        <v>522</v>
      </c>
      <c r="B62" t="s">
        <v>512</v>
      </c>
      <c r="C62" s="2">
        <v>4.7002372741699219</v>
      </c>
      <c r="D62" s="19">
        <f>AVERAGE(C62:C65)</f>
        <v>4.7002372741699219</v>
      </c>
      <c r="E62" t="s">
        <v>518</v>
      </c>
      <c r="F62" s="2">
        <v>19.392000198364258</v>
      </c>
      <c r="G62" s="19">
        <f>AVERAGE(F62:F65)</f>
        <v>19.469500064849854</v>
      </c>
      <c r="H62" s="20">
        <f>(F62-C65)</f>
        <v>14.691762924194336</v>
      </c>
      <c r="I62" s="16">
        <v>14.691762924194336</v>
      </c>
      <c r="J62" s="16">
        <f>AVERAGE(I62:I65)</f>
        <v>14.769262790679932</v>
      </c>
      <c r="K62" s="16">
        <f>(I62-J$2)</f>
        <v>-3.2204914093017578</v>
      </c>
      <c r="L62" s="18">
        <f t="shared" si="7"/>
        <v>9.321043075199718</v>
      </c>
      <c r="O62"/>
      <c r="P62"/>
      <c r="Q62" s="2"/>
      <c r="S62"/>
      <c r="T62" s="2"/>
      <c r="Z62" s="18"/>
    </row>
    <row r="63" spans="1:26">
      <c r="A63" t="s">
        <v>522</v>
      </c>
      <c r="B63" t="s">
        <v>512</v>
      </c>
      <c r="C63" s="2">
        <v>4.7002372741699219</v>
      </c>
      <c r="E63" t="s">
        <v>518</v>
      </c>
      <c r="F63" s="2">
        <v>19.455999374389648</v>
      </c>
      <c r="H63" s="16">
        <f t="shared" ref="H63:I73" si="8">(F63-C63)</f>
        <v>14.755762100219727</v>
      </c>
      <c r="I63" s="16">
        <v>14.755762100219727</v>
      </c>
      <c r="K63" s="16">
        <f>(I63-J$2)</f>
        <v>-3.1564922332763672</v>
      </c>
      <c r="L63" s="18">
        <f t="shared" si="7"/>
        <v>8.9165909402435748</v>
      </c>
      <c r="O63"/>
      <c r="P63"/>
      <c r="Q63" s="2"/>
      <c r="R63" s="19"/>
      <c r="S63"/>
      <c r="T63" s="2"/>
      <c r="U63" s="19"/>
      <c r="Z63" s="18"/>
    </row>
    <row r="64" spans="1:26">
      <c r="A64" t="s">
        <v>522</v>
      </c>
      <c r="B64" t="s">
        <v>512</v>
      </c>
      <c r="C64" s="2">
        <v>4.7002372741699219</v>
      </c>
      <c r="E64" t="s">
        <v>518</v>
      </c>
      <c r="F64" s="2">
        <v>19.520000457763672</v>
      </c>
      <c r="H64" s="16">
        <f t="shared" si="8"/>
        <v>14.81976318359375</v>
      </c>
      <c r="I64" s="16">
        <v>14.81976318359375</v>
      </c>
      <c r="K64" s="16">
        <f>(I64-J$2)</f>
        <v>-3.0924911499023438</v>
      </c>
      <c r="L64" s="18">
        <f t="shared" si="7"/>
        <v>8.5296772305469197</v>
      </c>
      <c r="O64"/>
      <c r="P64"/>
      <c r="Q64" s="2"/>
      <c r="S64"/>
      <c r="T64" s="2"/>
      <c r="Z64" s="18"/>
    </row>
    <row r="65" spans="1:26">
      <c r="A65" t="s">
        <v>522</v>
      </c>
      <c r="B65" t="s">
        <v>512</v>
      </c>
      <c r="C65" s="2">
        <v>4.7002372741699219</v>
      </c>
      <c r="E65" t="s">
        <v>518</v>
      </c>
      <c r="F65" s="2">
        <v>19.510000228881836</v>
      </c>
      <c r="H65" s="16">
        <f t="shared" si="8"/>
        <v>14.809762954711914</v>
      </c>
      <c r="I65" s="16">
        <v>14.809762954711914</v>
      </c>
      <c r="K65" s="16">
        <f>(I65-J$2)</f>
        <v>-3.1024913787841797</v>
      </c>
      <c r="L65" s="18">
        <f t="shared" si="7"/>
        <v>8.5890071901272123</v>
      </c>
      <c r="O65"/>
      <c r="P65"/>
      <c r="Q65" s="2"/>
      <c r="S65"/>
      <c r="T65" s="2"/>
      <c r="Z65" s="18"/>
    </row>
    <row r="66" spans="1:26">
      <c r="A66" t="s">
        <v>523</v>
      </c>
      <c r="B66" t="s">
        <v>512</v>
      </c>
      <c r="C66" s="2">
        <v>4.5536785125732422</v>
      </c>
      <c r="D66" s="19">
        <f>AVERAGE(C66:C69)</f>
        <v>4.5536785125732422</v>
      </c>
      <c r="E66" t="s">
        <v>518</v>
      </c>
      <c r="F66" s="2">
        <v>19.642999649047852</v>
      </c>
      <c r="G66" s="19">
        <f>AVERAGE(F66:F69)</f>
        <v>19.6107497215271</v>
      </c>
      <c r="H66" s="16">
        <f t="shared" si="8"/>
        <v>15.089321136474609</v>
      </c>
      <c r="I66" s="16">
        <v>15.089321136474609</v>
      </c>
      <c r="J66" s="16">
        <f>AVERAGE(I66:I69)</f>
        <v>15.057071208953857</v>
      </c>
      <c r="K66" s="16">
        <f>(I66-J$2)</f>
        <v>-2.8229331970214844</v>
      </c>
      <c r="L66" s="18">
        <f t="shared" si="7"/>
        <v>7.0759958260597102</v>
      </c>
      <c r="O66"/>
      <c r="P66"/>
      <c r="Q66" s="2"/>
      <c r="S66"/>
      <c r="T66" s="2"/>
      <c r="Z66" s="18"/>
    </row>
    <row r="67" spans="1:26">
      <c r="A67" t="s">
        <v>523</v>
      </c>
      <c r="B67" t="s">
        <v>512</v>
      </c>
      <c r="C67" s="2">
        <v>4.5536785125732422</v>
      </c>
      <c r="E67" t="s">
        <v>518</v>
      </c>
      <c r="F67" s="2">
        <v>19.493999481201172</v>
      </c>
      <c r="H67" s="16">
        <f t="shared" si="8"/>
        <v>14.94032096862793</v>
      </c>
      <c r="I67" s="16">
        <v>14.94032096862793</v>
      </c>
      <c r="K67" s="16">
        <f>(I67-J$2)</f>
        <v>-2.9719333648681641</v>
      </c>
      <c r="L67" s="18">
        <f t="shared" si="7"/>
        <v>7.8458696388753033</v>
      </c>
      <c r="O67"/>
      <c r="P67"/>
      <c r="Q67" s="2"/>
      <c r="R67" s="19"/>
      <c r="S67"/>
      <c r="T67" s="2"/>
      <c r="U67" s="19"/>
      <c r="Z67" s="18"/>
    </row>
    <row r="68" spans="1:26">
      <c r="A68" t="s">
        <v>523</v>
      </c>
      <c r="B68" t="s">
        <v>512</v>
      </c>
      <c r="C68" s="2">
        <v>4.5536785125732422</v>
      </c>
      <c r="E68" t="s">
        <v>518</v>
      </c>
      <c r="F68" s="2">
        <v>19.669000625610352</v>
      </c>
      <c r="H68" s="16">
        <f t="shared" si="8"/>
        <v>15.115322113037109</v>
      </c>
      <c r="I68" s="16">
        <v>15.115322113037109</v>
      </c>
      <c r="K68" s="16">
        <f>(I68-J$2)</f>
        <v>-2.7969322204589844</v>
      </c>
      <c r="L68" s="18">
        <f t="shared" si="7"/>
        <v>6.9496109724877444</v>
      </c>
      <c r="O68"/>
      <c r="P68"/>
      <c r="Q68" s="2"/>
      <c r="S68"/>
      <c r="T68" s="2"/>
      <c r="Z68" s="18"/>
    </row>
    <row r="69" spans="1:26">
      <c r="A69" t="s">
        <v>523</v>
      </c>
      <c r="B69" t="s">
        <v>512</v>
      </c>
      <c r="C69" s="2">
        <v>4.5536785125732422</v>
      </c>
      <c r="E69" t="s">
        <v>518</v>
      </c>
      <c r="F69" s="2">
        <v>19.636999130249023</v>
      </c>
      <c r="H69" s="16">
        <f t="shared" si="8"/>
        <v>15.083320617675781</v>
      </c>
      <c r="I69" s="16">
        <v>15.083320617675781</v>
      </c>
      <c r="K69" s="16">
        <f>(I69-J$2)</f>
        <v>-2.8289337158203125</v>
      </c>
      <c r="L69" s="18">
        <f t="shared" si="7"/>
        <v>7.1054878997846282</v>
      </c>
      <c r="O69"/>
      <c r="P69"/>
      <c r="Q69" s="2"/>
      <c r="S69"/>
      <c r="T69" s="2"/>
      <c r="Z69" s="18"/>
    </row>
    <row r="70" spans="1:26">
      <c r="A70" t="s">
        <v>524</v>
      </c>
      <c r="B70" t="s">
        <v>512</v>
      </c>
      <c r="C70" s="2">
        <v>4.6530952453613281</v>
      </c>
      <c r="D70" s="19">
        <f>AVERAGE(C70:C73)</f>
        <v>4.6530952453613281</v>
      </c>
      <c r="E70" t="s">
        <v>518</v>
      </c>
      <c r="F70" s="2">
        <v>18.458999633789062</v>
      </c>
      <c r="G70" s="19">
        <f>AVERAGE(F70:F73)</f>
        <v>18.577000141143799</v>
      </c>
      <c r="H70" s="16">
        <f t="shared" si="8"/>
        <v>13.805904388427734</v>
      </c>
      <c r="I70" s="16">
        <v>13.805904388427734</v>
      </c>
      <c r="J70" s="16">
        <f>AVERAGE(I70:I73)</f>
        <v>13.923904895782471</v>
      </c>
      <c r="K70" s="16">
        <f>(I70-J$2)</f>
        <v>-4.1063499450683594</v>
      </c>
      <c r="L70" s="18">
        <f t="shared" si="7"/>
        <v>17.224019407231435</v>
      </c>
      <c r="O70"/>
      <c r="P70"/>
      <c r="Q70" s="2"/>
      <c r="S70"/>
      <c r="T70" s="2"/>
      <c r="Z70" s="18"/>
    </row>
    <row r="71" spans="1:26">
      <c r="A71" t="s">
        <v>524</v>
      </c>
      <c r="B71" t="s">
        <v>512</v>
      </c>
      <c r="C71" s="2">
        <v>4.6530952453613281</v>
      </c>
      <c r="E71" t="s">
        <v>518</v>
      </c>
      <c r="F71" s="2">
        <v>18.510000228881836</v>
      </c>
      <c r="H71" s="16">
        <f t="shared" si="8"/>
        <v>13.856904983520508</v>
      </c>
      <c r="I71" s="16">
        <v>13.856904983520508</v>
      </c>
      <c r="K71" s="16">
        <f>(I71-J$2)</f>
        <v>-4.0553493499755859</v>
      </c>
      <c r="L71" s="18">
        <f t="shared" si="7"/>
        <v>16.625771111637853</v>
      </c>
      <c r="O71"/>
      <c r="P71"/>
      <c r="Q71" s="2"/>
      <c r="R71" s="19"/>
      <c r="S71"/>
      <c r="T71" s="2"/>
      <c r="U71" s="19"/>
      <c r="Z71" s="18"/>
    </row>
    <row r="72" spans="1:26">
      <c r="A72" t="s">
        <v>524</v>
      </c>
      <c r="B72" t="s">
        <v>512</v>
      </c>
      <c r="C72" s="2">
        <v>4.6530952453613281</v>
      </c>
      <c r="E72" t="s">
        <v>518</v>
      </c>
      <c r="F72" s="2">
        <v>18.645000457763672</v>
      </c>
      <c r="H72" s="16">
        <f t="shared" si="8"/>
        <v>13.991905212402344</v>
      </c>
      <c r="I72" s="16">
        <v>13.991905212402344</v>
      </c>
      <c r="K72" s="16">
        <f>(I72-J$2)</f>
        <v>-3.92034912109375</v>
      </c>
      <c r="L72" s="18">
        <f t="shared" si="7"/>
        <v>15.140585809537619</v>
      </c>
      <c r="O72"/>
      <c r="P72"/>
      <c r="Q72" s="2"/>
      <c r="S72"/>
      <c r="T72" s="2"/>
      <c r="Z72" s="18"/>
    </row>
    <row r="73" spans="1:26">
      <c r="A73" t="s">
        <v>524</v>
      </c>
      <c r="B73" t="s">
        <v>512</v>
      </c>
      <c r="C73" s="2">
        <v>4.6530952453613281</v>
      </c>
      <c r="E73" t="s">
        <v>518</v>
      </c>
      <c r="F73" s="2">
        <v>18.694000244140625</v>
      </c>
      <c r="H73" s="16">
        <f t="shared" si="8"/>
        <v>14.040904998779297</v>
      </c>
      <c r="I73" s="16">
        <v>14.040904998779297</v>
      </c>
      <c r="K73" s="16">
        <f>(I73-J$2)</f>
        <v>-3.8713493347167969</v>
      </c>
      <c r="L73" s="18">
        <f t="shared" si="7"/>
        <v>14.634984723668884</v>
      </c>
      <c r="O73"/>
      <c r="P73"/>
      <c r="Q73" s="2"/>
      <c r="S73"/>
      <c r="T73" s="2"/>
      <c r="Z73" s="18"/>
    </row>
    <row r="74" spans="1:26">
      <c r="A74" t="s">
        <v>519</v>
      </c>
      <c r="B74" t="s">
        <v>512</v>
      </c>
      <c r="C74" s="2">
        <v>4.6774954795837402</v>
      </c>
      <c r="D74" s="19">
        <f>AVERAGE(C74:C77)</f>
        <v>4.6774954795837402</v>
      </c>
      <c r="E74" t="s">
        <v>504</v>
      </c>
      <c r="F74" s="2">
        <v>25.096000671386719</v>
      </c>
      <c r="G74" s="19">
        <f>AVERAGE(F74:F77)</f>
        <v>25.066249847412109</v>
      </c>
      <c r="H74" s="16">
        <f t="shared" ref="H74:I85" si="9">(F74-C74)</f>
        <v>20.418505191802979</v>
      </c>
      <c r="I74" s="16">
        <v>20.418505191802979</v>
      </c>
      <c r="J74" s="16">
        <f>AVERAGE(I74:I77)</f>
        <v>20.388754367828369</v>
      </c>
      <c r="K74" s="16">
        <f>(I74-J$2)</f>
        <v>2.5062508583068848</v>
      </c>
      <c r="L74" s="18">
        <f t="shared" ref="L74:L97" si="10">2^(-K74)</f>
        <v>0.17601242035917516</v>
      </c>
      <c r="O74"/>
      <c r="P74"/>
      <c r="Q74" s="2"/>
      <c r="S74"/>
      <c r="T74" s="2"/>
      <c r="Z74" s="18"/>
    </row>
    <row r="75" spans="1:26">
      <c r="A75" t="s">
        <v>519</v>
      </c>
      <c r="B75" t="s">
        <v>512</v>
      </c>
      <c r="C75" s="2">
        <v>4.6774954795837402</v>
      </c>
      <c r="E75" t="s">
        <v>504</v>
      </c>
      <c r="F75" s="2">
        <v>25.097999572753906</v>
      </c>
      <c r="H75" s="16">
        <f t="shared" si="9"/>
        <v>20.420504093170166</v>
      </c>
      <c r="I75" s="16">
        <v>20.420504093170166</v>
      </c>
      <c r="K75" s="16">
        <f>(I75-J$2)</f>
        <v>2.5082497596740723</v>
      </c>
      <c r="L75" s="18">
        <f t="shared" si="10"/>
        <v>0.17576871823694196</v>
      </c>
      <c r="O75" s="13"/>
      <c r="P75"/>
      <c r="Q75" s="2"/>
      <c r="R75" s="19"/>
      <c r="S75"/>
      <c r="T75" s="2"/>
      <c r="U75" s="19"/>
      <c r="Z75" s="18"/>
    </row>
    <row r="76" spans="1:26">
      <c r="A76" t="s">
        <v>519</v>
      </c>
      <c r="B76" t="s">
        <v>512</v>
      </c>
      <c r="C76" s="2">
        <v>4.6774954795837402</v>
      </c>
      <c r="E76" t="s">
        <v>504</v>
      </c>
      <c r="F76" s="2">
        <v>25.077999114990234</v>
      </c>
      <c r="H76" s="16">
        <f t="shared" si="9"/>
        <v>20.400503635406494</v>
      </c>
      <c r="I76" s="16">
        <v>20.400503635406494</v>
      </c>
      <c r="K76" s="16">
        <f>(I76-J$2)</f>
        <v>2.4882493019104004</v>
      </c>
      <c r="L76" s="18">
        <f t="shared" si="10"/>
        <v>0.17822241465642505</v>
      </c>
      <c r="O76" s="13"/>
      <c r="P76"/>
      <c r="Q76" s="2"/>
      <c r="S76"/>
      <c r="T76" s="2"/>
      <c r="Z76" s="18"/>
    </row>
    <row r="77" spans="1:26">
      <c r="A77" t="s">
        <v>519</v>
      </c>
      <c r="B77" t="s">
        <v>512</v>
      </c>
      <c r="C77" s="2">
        <v>4.6774954795837402</v>
      </c>
      <c r="E77" t="s">
        <v>504</v>
      </c>
      <c r="F77" s="2">
        <v>24.993000030517578</v>
      </c>
      <c r="H77" s="16">
        <f t="shared" si="9"/>
        <v>20.315504550933838</v>
      </c>
      <c r="I77" s="16">
        <v>20.315504550933838</v>
      </c>
      <c r="K77" s="16">
        <f>(I77-J$2)</f>
        <v>2.4032502174377441</v>
      </c>
      <c r="L77" s="18">
        <f t="shared" si="10"/>
        <v>0.18903821050033479</v>
      </c>
      <c r="O77" s="13"/>
      <c r="P77"/>
      <c r="Q77" s="2"/>
      <c r="S77"/>
      <c r="T77" s="2"/>
      <c r="Z77" s="18"/>
    </row>
    <row r="78" spans="1:26">
      <c r="A78" t="s">
        <v>520</v>
      </c>
      <c r="B78" t="s">
        <v>512</v>
      </c>
      <c r="C78" s="2">
        <v>4.6805324554443359</v>
      </c>
      <c r="D78" s="19">
        <f>AVERAGE(C78:C81)</f>
        <v>4.6805324554443359</v>
      </c>
      <c r="E78" t="s">
        <v>504</v>
      </c>
      <c r="F78" s="2">
        <v>25.184999465942383</v>
      </c>
      <c r="G78" s="19">
        <f>AVERAGE(F78:F81)</f>
        <v>25.122750282287598</v>
      </c>
      <c r="H78" s="16">
        <f t="shared" si="9"/>
        <v>20.504467010498047</v>
      </c>
      <c r="I78" s="16">
        <v>20.504467010498047</v>
      </c>
      <c r="J78" s="16">
        <f>AVERAGE(I78:I81)</f>
        <v>20.442217826843262</v>
      </c>
      <c r="K78" s="16">
        <f>(I78-J$2)</f>
        <v>2.5922126770019531</v>
      </c>
      <c r="L78" s="18">
        <f t="shared" si="10"/>
        <v>0.16583119452430384</v>
      </c>
      <c r="O78" s="13"/>
      <c r="P78"/>
      <c r="Q78" s="2"/>
      <c r="S78"/>
      <c r="T78" s="2"/>
      <c r="Z78" s="18"/>
    </row>
    <row r="79" spans="1:26">
      <c r="A79" t="s">
        <v>520</v>
      </c>
      <c r="B79" t="s">
        <v>512</v>
      </c>
      <c r="C79" s="2">
        <v>4.6805324554443359</v>
      </c>
      <c r="E79" t="s">
        <v>504</v>
      </c>
      <c r="F79" s="2">
        <v>25.110000610351562</v>
      </c>
      <c r="H79" s="16">
        <f t="shared" si="9"/>
        <v>20.429468154907227</v>
      </c>
      <c r="I79" s="16">
        <v>20.429468154907227</v>
      </c>
      <c r="K79" s="16">
        <f>(I79-J$2)</f>
        <v>2.5172138214111328</v>
      </c>
      <c r="L79" s="18">
        <f t="shared" si="10"/>
        <v>0.17467998029384801</v>
      </c>
      <c r="O79"/>
      <c r="P79"/>
      <c r="Q79" s="2"/>
      <c r="R79" s="19"/>
      <c r="S79"/>
      <c r="T79" s="2"/>
      <c r="U79" s="19"/>
      <c r="Z79" s="18"/>
    </row>
    <row r="80" spans="1:26">
      <c r="A80" t="s">
        <v>520</v>
      </c>
      <c r="B80" t="s">
        <v>512</v>
      </c>
      <c r="C80" s="2">
        <v>4.6805324554443359</v>
      </c>
      <c r="E80" t="s">
        <v>504</v>
      </c>
      <c r="F80" s="2">
        <v>25.124000549316406</v>
      </c>
      <c r="H80" s="16">
        <f t="shared" si="9"/>
        <v>20.44346809387207</v>
      </c>
      <c r="I80" s="16">
        <v>20.44346809387207</v>
      </c>
      <c r="K80" s="16">
        <f>(I80-J$2)</f>
        <v>2.5312137603759766</v>
      </c>
      <c r="L80" s="18">
        <f t="shared" si="10"/>
        <v>0.17299308067211866</v>
      </c>
      <c r="O80"/>
      <c r="P80"/>
      <c r="Q80" s="2"/>
      <c r="S80"/>
      <c r="T80" s="2"/>
      <c r="Z80" s="18"/>
    </row>
    <row r="81" spans="1:26">
      <c r="A81" t="s">
        <v>520</v>
      </c>
      <c r="B81" t="s">
        <v>512</v>
      </c>
      <c r="C81" s="2">
        <v>4.6805324554443359</v>
      </c>
      <c r="E81" t="s">
        <v>504</v>
      </c>
      <c r="F81" s="2">
        <v>25.072000503540039</v>
      </c>
      <c r="H81" s="16">
        <f t="shared" si="9"/>
        <v>20.391468048095703</v>
      </c>
      <c r="I81" s="16">
        <v>20.391468048095703</v>
      </c>
      <c r="K81" s="16">
        <f>(I81-J$2)</f>
        <v>2.4792137145996094</v>
      </c>
      <c r="L81" s="18">
        <f t="shared" si="10"/>
        <v>0.1793421228920612</v>
      </c>
      <c r="O81"/>
      <c r="P81"/>
      <c r="Q81" s="2"/>
      <c r="S81"/>
      <c r="T81" s="2"/>
      <c r="Z81" s="18"/>
    </row>
    <row r="82" spans="1:26">
      <c r="A82" t="s">
        <v>521</v>
      </c>
      <c r="B82" t="s">
        <v>512</v>
      </c>
      <c r="C82" s="2">
        <v>4.8045392036437988</v>
      </c>
      <c r="D82" s="19">
        <f>AVERAGE(C82:C85)</f>
        <v>4.8045392036437988</v>
      </c>
      <c r="E82" t="s">
        <v>504</v>
      </c>
      <c r="F82" s="2">
        <v>26.25200080871582</v>
      </c>
      <c r="G82" s="19">
        <f>AVERAGE(F82:F85)</f>
        <v>26.225250244140625</v>
      </c>
      <c r="H82" s="16">
        <f t="shared" si="9"/>
        <v>21.447461605072021</v>
      </c>
      <c r="I82" s="16">
        <v>21.447461605072021</v>
      </c>
      <c r="J82" s="16">
        <f>AVERAGE(I82:I85)</f>
        <v>21.420711040496826</v>
      </c>
      <c r="K82" s="16">
        <f>(I82-J$2)</f>
        <v>3.5352072715759277</v>
      </c>
      <c r="L82" s="18">
        <f t="shared" si="10"/>
        <v>8.6257441115609429E-2</v>
      </c>
      <c r="O82"/>
      <c r="P82"/>
      <c r="Q82" s="2"/>
      <c r="S82"/>
      <c r="T82" s="2"/>
      <c r="Z82" s="18"/>
    </row>
    <row r="83" spans="1:26">
      <c r="A83" t="s">
        <v>521</v>
      </c>
      <c r="B83" t="s">
        <v>512</v>
      </c>
      <c r="C83" s="2">
        <v>4.8045392036437988</v>
      </c>
      <c r="E83" t="s">
        <v>504</v>
      </c>
      <c r="F83" s="2">
        <v>26.246000289916992</v>
      </c>
      <c r="H83" s="16">
        <f t="shared" si="9"/>
        <v>21.441461086273193</v>
      </c>
      <c r="I83" s="16">
        <v>21.441461086273193</v>
      </c>
      <c r="K83" s="16">
        <f>(I83-J$2)</f>
        <v>3.5292067527770996</v>
      </c>
      <c r="L83" s="18">
        <f t="shared" si="10"/>
        <v>8.6616953878934658E-2</v>
      </c>
      <c r="O83"/>
      <c r="P83"/>
      <c r="Q83" s="2"/>
      <c r="R83" s="19"/>
      <c r="S83"/>
      <c r="T83" s="2"/>
      <c r="U83" s="19"/>
      <c r="Z83" s="18"/>
    </row>
    <row r="84" spans="1:26">
      <c r="A84" t="s">
        <v>521</v>
      </c>
      <c r="B84" t="s">
        <v>512</v>
      </c>
      <c r="C84" s="2">
        <v>4.8045392036437988</v>
      </c>
      <c r="E84" t="s">
        <v>504</v>
      </c>
      <c r="F84" s="2">
        <v>26.281000137329102</v>
      </c>
      <c r="H84" s="16">
        <f t="shared" si="9"/>
        <v>21.476460933685303</v>
      </c>
      <c r="I84" s="16">
        <v>21.476460933685303</v>
      </c>
      <c r="K84" s="16">
        <f>(I84-J$2)</f>
        <v>3.564206600189209</v>
      </c>
      <c r="L84" s="18">
        <f t="shared" si="10"/>
        <v>8.4540906949071404E-2</v>
      </c>
      <c r="O84"/>
      <c r="P84"/>
      <c r="Q84" s="2"/>
      <c r="S84"/>
      <c r="T84" s="2"/>
      <c r="Z84" s="18"/>
    </row>
    <row r="85" spans="1:26">
      <c r="A85" t="s">
        <v>521</v>
      </c>
      <c r="B85" t="s">
        <v>512</v>
      </c>
      <c r="C85" s="2">
        <v>4.8045392036437988</v>
      </c>
      <c r="E85" t="s">
        <v>504</v>
      </c>
      <c r="F85" s="2">
        <v>26.121999740600586</v>
      </c>
      <c r="H85" s="16">
        <f t="shared" si="9"/>
        <v>21.317460536956787</v>
      </c>
      <c r="I85" s="16">
        <v>21.317460536956787</v>
      </c>
      <c r="K85" s="16">
        <f>(I85-J$2)</f>
        <v>3.4052062034606934</v>
      </c>
      <c r="L85" s="18">
        <f t="shared" si="10"/>
        <v>9.4391044383108663E-2</v>
      </c>
      <c r="O85"/>
      <c r="P85"/>
      <c r="Q85" s="2"/>
      <c r="S85"/>
      <c r="T85" s="2"/>
      <c r="Z85" s="18"/>
    </row>
    <row r="86" spans="1:26">
      <c r="A86" t="s">
        <v>522</v>
      </c>
      <c r="B86" t="s">
        <v>512</v>
      </c>
      <c r="C86" s="2">
        <v>4.7002372741699219</v>
      </c>
      <c r="D86" s="19">
        <f>AVERAGE(C86:C89)</f>
        <v>4.7002372741699219</v>
      </c>
      <c r="E86" t="s">
        <v>504</v>
      </c>
      <c r="F86" s="2">
        <v>25.58799934387207</v>
      </c>
      <c r="G86" s="19">
        <f>AVERAGE(F86:F89)</f>
        <v>25.626499652862549</v>
      </c>
      <c r="H86" s="20">
        <f>(F86-C89)</f>
        <v>20.887762069702148</v>
      </c>
      <c r="I86" s="16">
        <v>20.887762069702148</v>
      </c>
      <c r="J86" s="16">
        <f>AVERAGE(I86:I89)</f>
        <v>20.926262378692627</v>
      </c>
      <c r="K86" s="16">
        <f>(I86-J$2)</f>
        <v>2.9755077362060547</v>
      </c>
      <c r="L86" s="18">
        <f t="shared" si="10"/>
        <v>0.12714020843200469</v>
      </c>
      <c r="O86"/>
      <c r="P86"/>
      <c r="Q86" s="2"/>
      <c r="S86"/>
      <c r="T86" s="2"/>
      <c r="Z86" s="18"/>
    </row>
    <row r="87" spans="1:26">
      <c r="A87" t="s">
        <v>522</v>
      </c>
      <c r="B87" t="s">
        <v>512</v>
      </c>
      <c r="C87" s="2">
        <v>4.7002372741699219</v>
      </c>
      <c r="E87" t="s">
        <v>504</v>
      </c>
      <c r="F87" s="2">
        <v>25.61400032043457</v>
      </c>
      <c r="H87" s="16">
        <f t="shared" ref="H87:I97" si="11">(F87-C87)</f>
        <v>20.913763046264648</v>
      </c>
      <c r="I87" s="16">
        <v>20.913763046264648</v>
      </c>
      <c r="K87" s="16">
        <f>(I87-J$2)</f>
        <v>3.0015087127685547</v>
      </c>
      <c r="L87" s="18">
        <f t="shared" si="10"/>
        <v>0.12486934832682903</v>
      </c>
      <c r="O87"/>
      <c r="P87"/>
      <c r="Q87" s="2"/>
      <c r="R87" s="19"/>
      <c r="S87"/>
      <c r="T87" s="2"/>
      <c r="U87" s="19"/>
      <c r="Z87" s="18"/>
    </row>
    <row r="88" spans="1:26">
      <c r="A88" t="s">
        <v>522</v>
      </c>
      <c r="B88" t="s">
        <v>512</v>
      </c>
      <c r="C88" s="2">
        <v>4.7002372741699219</v>
      </c>
      <c r="E88" t="s">
        <v>504</v>
      </c>
      <c r="F88" s="2">
        <v>25.60099983215332</v>
      </c>
      <c r="H88" s="16">
        <f t="shared" si="11"/>
        <v>20.900762557983398</v>
      </c>
      <c r="I88" s="16">
        <v>20.900762557983398</v>
      </c>
      <c r="K88" s="16">
        <f>(I88-J$2)</f>
        <v>2.9885082244873047</v>
      </c>
      <c r="L88" s="18">
        <f t="shared" si="10"/>
        <v>0.12599966259098333</v>
      </c>
      <c r="O88"/>
      <c r="P88"/>
      <c r="Q88" s="2"/>
      <c r="S88"/>
      <c r="T88" s="2"/>
      <c r="Z88" s="18"/>
    </row>
    <row r="89" spans="1:26">
      <c r="A89" t="s">
        <v>522</v>
      </c>
      <c r="B89" t="s">
        <v>512</v>
      </c>
      <c r="C89" s="2">
        <v>4.7002372741699219</v>
      </c>
      <c r="E89" t="s">
        <v>504</v>
      </c>
      <c r="F89" s="2">
        <v>25.702999114990234</v>
      </c>
      <c r="H89" s="16">
        <f t="shared" si="11"/>
        <v>21.002761840820312</v>
      </c>
      <c r="I89" s="16">
        <v>21.002761840820312</v>
      </c>
      <c r="K89" s="16">
        <f>(I89-J$2)</f>
        <v>3.0905075073242188</v>
      </c>
      <c r="L89" s="18">
        <f t="shared" si="10"/>
        <v>0.11739903807377629</v>
      </c>
      <c r="O89"/>
      <c r="P89"/>
      <c r="Q89" s="2"/>
      <c r="S89"/>
      <c r="T89" s="2"/>
      <c r="Z89" s="18"/>
    </row>
    <row r="90" spans="1:26">
      <c r="A90" t="s">
        <v>523</v>
      </c>
      <c r="B90" t="s">
        <v>512</v>
      </c>
      <c r="C90" s="2">
        <v>4.5536785125732422</v>
      </c>
      <c r="D90" s="19">
        <f>AVERAGE(C90:C93)</f>
        <v>4.5536785125732422</v>
      </c>
      <c r="E90" t="s">
        <v>504</v>
      </c>
      <c r="F90" s="2">
        <v>26.093000411987305</v>
      </c>
      <c r="G90" s="19">
        <f>AVERAGE(F90:F93)</f>
        <v>26.02500057220459</v>
      </c>
      <c r="H90" s="16">
        <f t="shared" si="11"/>
        <v>21.539321899414062</v>
      </c>
      <c r="I90" s="16">
        <v>21.539321899414062</v>
      </c>
      <c r="J90" s="16">
        <f>AVERAGE(I90:I93)</f>
        <v>21.471322059631348</v>
      </c>
      <c r="K90" s="16">
        <f>(I90-J$2)</f>
        <v>3.6270675659179688</v>
      </c>
      <c r="L90" s="18">
        <f t="shared" si="10"/>
        <v>8.0936396835205704E-2</v>
      </c>
      <c r="O90"/>
      <c r="P90"/>
      <c r="Q90" s="2"/>
      <c r="S90"/>
      <c r="T90" s="2"/>
      <c r="Z90" s="18"/>
    </row>
    <row r="91" spans="1:26">
      <c r="A91" t="s">
        <v>523</v>
      </c>
      <c r="B91" t="s">
        <v>512</v>
      </c>
      <c r="C91" s="2">
        <v>4.5536785125732422</v>
      </c>
      <c r="E91" t="s">
        <v>504</v>
      </c>
      <c r="F91" s="2">
        <v>25.933000564575195</v>
      </c>
      <c r="H91" s="16">
        <f t="shared" si="11"/>
        <v>21.379322052001953</v>
      </c>
      <c r="I91" s="16">
        <v>21.379322052001953</v>
      </c>
      <c r="K91" s="16">
        <f>(I91-J$2)</f>
        <v>3.4670677185058594</v>
      </c>
      <c r="L91" s="18">
        <f t="shared" si="10"/>
        <v>9.0429185621562824E-2</v>
      </c>
      <c r="O91"/>
      <c r="P91"/>
      <c r="Q91" s="2"/>
      <c r="R91" s="19"/>
      <c r="S91"/>
      <c r="T91" s="2"/>
      <c r="U91" s="19"/>
      <c r="Z91" s="18"/>
    </row>
    <row r="92" spans="1:26">
      <c r="A92" t="s">
        <v>523</v>
      </c>
      <c r="B92" t="s">
        <v>512</v>
      </c>
      <c r="C92" s="2">
        <v>4.5536785125732422</v>
      </c>
      <c r="E92" t="s">
        <v>504</v>
      </c>
      <c r="F92" s="2">
        <v>26.051000595092773</v>
      </c>
      <c r="H92" s="16">
        <f t="shared" si="11"/>
        <v>21.497322082519531</v>
      </c>
      <c r="I92" s="16">
        <v>21.497322082519531</v>
      </c>
      <c r="K92" s="16">
        <f>(I92-J$2)</f>
        <v>3.5850677490234375</v>
      </c>
      <c r="L92" s="18">
        <f t="shared" si="10"/>
        <v>8.3327254174749052E-2</v>
      </c>
      <c r="O92"/>
      <c r="P92"/>
      <c r="Q92" s="2"/>
      <c r="S92"/>
      <c r="T92" s="2"/>
      <c r="Z92" s="18"/>
    </row>
    <row r="93" spans="1:26">
      <c r="A93" t="s">
        <v>523</v>
      </c>
      <c r="B93" t="s">
        <v>512</v>
      </c>
      <c r="C93" s="2">
        <v>4.5536785125732422</v>
      </c>
      <c r="E93" t="s">
        <v>504</v>
      </c>
      <c r="F93" s="2">
        <v>26.023000717163086</v>
      </c>
      <c r="H93" s="16">
        <f t="shared" si="11"/>
        <v>21.469322204589844</v>
      </c>
      <c r="I93" s="16">
        <v>21.469322204589844</v>
      </c>
      <c r="K93" s="16">
        <f>(I93-J$2)</f>
        <v>3.55706787109375</v>
      </c>
      <c r="L93" s="18">
        <f t="shared" si="10"/>
        <v>8.4960268098458053E-2</v>
      </c>
      <c r="O93"/>
      <c r="P93"/>
      <c r="Q93" s="2"/>
      <c r="S93"/>
      <c r="T93" s="2"/>
      <c r="Z93" s="18"/>
    </row>
    <row r="94" spans="1:26">
      <c r="A94" t="s">
        <v>524</v>
      </c>
      <c r="B94" t="s">
        <v>512</v>
      </c>
      <c r="C94" s="2">
        <v>4.6530952453613281</v>
      </c>
      <c r="D94" s="19">
        <f>AVERAGE(C94:C97)</f>
        <v>4.6530952453613281</v>
      </c>
      <c r="E94" t="s">
        <v>504</v>
      </c>
      <c r="F94" s="2">
        <v>25.785999298095703</v>
      </c>
      <c r="G94" s="19">
        <f>AVERAGE(F94:F97)</f>
        <v>25.758749961853027</v>
      </c>
      <c r="H94" s="16">
        <f t="shared" si="11"/>
        <v>21.132904052734375</v>
      </c>
      <c r="I94" s="16">
        <v>21.132904052734375</v>
      </c>
      <c r="J94" s="16">
        <f>AVERAGE(I94:I97)</f>
        <v>21.105654716491699</v>
      </c>
      <c r="K94" s="16">
        <f>(I94-J$2)</f>
        <v>3.2206497192382812</v>
      </c>
      <c r="L94" s="18">
        <f t="shared" si="10"/>
        <v>0.10727235845466415</v>
      </c>
      <c r="O94"/>
      <c r="P94"/>
      <c r="Q94" s="2"/>
      <c r="S94"/>
      <c r="T94" s="2"/>
      <c r="Z94" s="18"/>
    </row>
    <row r="95" spans="1:26">
      <c r="A95" t="s">
        <v>524</v>
      </c>
      <c r="B95" t="s">
        <v>512</v>
      </c>
      <c r="C95" s="2">
        <v>4.6530952453613281</v>
      </c>
      <c r="E95" t="s">
        <v>504</v>
      </c>
      <c r="F95" s="2">
        <v>25.66200065612793</v>
      </c>
      <c r="H95" s="16">
        <f t="shared" si="11"/>
        <v>21.008905410766602</v>
      </c>
      <c r="I95" s="16">
        <v>21.008905410766602</v>
      </c>
      <c r="K95" s="16">
        <f>(I95-J$2)</f>
        <v>3.0966510772705078</v>
      </c>
      <c r="L95" s="18">
        <f t="shared" si="10"/>
        <v>0.11690016916799972</v>
      </c>
      <c r="O95"/>
      <c r="P95"/>
      <c r="Q95" s="2"/>
      <c r="R95" s="19"/>
      <c r="S95"/>
      <c r="T95" s="2"/>
      <c r="U95" s="19"/>
      <c r="Z95" s="18"/>
    </row>
    <row r="96" spans="1:26">
      <c r="A96" t="s">
        <v>524</v>
      </c>
      <c r="B96" t="s">
        <v>512</v>
      </c>
      <c r="C96" s="2">
        <v>4.6530952453613281</v>
      </c>
      <c r="E96" t="s">
        <v>504</v>
      </c>
      <c r="F96" s="2">
        <v>25.788000106811523</v>
      </c>
      <c r="H96" s="16">
        <f t="shared" si="11"/>
        <v>21.134904861450195</v>
      </c>
      <c r="I96" s="16">
        <v>21.134904861450195</v>
      </c>
      <c r="K96" s="16">
        <f>(I96-J$2)</f>
        <v>3.2226505279541016</v>
      </c>
      <c r="L96" s="18">
        <f t="shared" si="10"/>
        <v>0.10712369037089907</v>
      </c>
      <c r="O96"/>
      <c r="P96"/>
      <c r="Q96" s="2"/>
      <c r="S96"/>
      <c r="T96" s="2"/>
      <c r="Z96" s="18"/>
    </row>
    <row r="97" spans="1:26">
      <c r="A97" t="s">
        <v>524</v>
      </c>
      <c r="B97" t="s">
        <v>512</v>
      </c>
      <c r="C97" s="2">
        <v>4.6530952453613281</v>
      </c>
      <c r="E97" t="s">
        <v>504</v>
      </c>
      <c r="F97" s="2">
        <v>25.798999786376953</v>
      </c>
      <c r="H97" s="16">
        <f t="shared" si="11"/>
        <v>21.145904541015625</v>
      </c>
      <c r="I97" s="16">
        <v>21.145904541015625</v>
      </c>
      <c r="K97" s="16">
        <f>(I97-J$2)</f>
        <v>3.2336502075195312</v>
      </c>
      <c r="L97" s="18">
        <f t="shared" si="10"/>
        <v>0.10631004256891154</v>
      </c>
      <c r="O97"/>
      <c r="P97"/>
      <c r="Q97" s="2"/>
      <c r="S97"/>
      <c r="T97" s="2"/>
      <c r="Z97" s="18"/>
    </row>
    <row r="98" spans="1:26">
      <c r="A98" t="s">
        <v>519</v>
      </c>
      <c r="B98" t="s">
        <v>512</v>
      </c>
      <c r="C98" s="2">
        <v>4.6774954795837402</v>
      </c>
      <c r="D98" s="19">
        <f>AVERAGE(C98:C101)</f>
        <v>4.6774954795837402</v>
      </c>
      <c r="E98" t="s">
        <v>525</v>
      </c>
      <c r="F98" s="2">
        <v>20.153999328613281</v>
      </c>
      <c r="G98" s="19">
        <f>AVERAGE(F98:F101)</f>
        <v>20.21875</v>
      </c>
      <c r="H98" s="16">
        <f t="shared" ref="H98:I109" si="12">(F98-C98)</f>
        <v>15.476503849029541</v>
      </c>
      <c r="I98" s="16">
        <v>15.476503849029541</v>
      </c>
      <c r="J98" s="16">
        <f>AVERAGE(I98:I101)</f>
        <v>15.54125452041626</v>
      </c>
      <c r="K98" s="16">
        <f>(I98-J$2)</f>
        <v>-2.4357504844665527</v>
      </c>
      <c r="L98" s="18">
        <f t="shared" ref="L98:L121" si="13">2^(-K98)</f>
        <v>5.4104570993738612</v>
      </c>
      <c r="O98"/>
      <c r="P98"/>
      <c r="Q98" s="2"/>
      <c r="S98"/>
      <c r="T98" s="2"/>
      <c r="Z98" s="18"/>
    </row>
    <row r="99" spans="1:26">
      <c r="A99" t="s">
        <v>519</v>
      </c>
      <c r="B99" t="s">
        <v>512</v>
      </c>
      <c r="C99" s="2">
        <v>4.6774954795837402</v>
      </c>
      <c r="E99" t="s">
        <v>525</v>
      </c>
      <c r="F99" s="2">
        <v>20.261999130249023</v>
      </c>
      <c r="H99" s="16">
        <f t="shared" si="12"/>
        <v>15.584503650665283</v>
      </c>
      <c r="I99" s="16">
        <v>15.584503650665283</v>
      </c>
      <c r="K99" s="16">
        <f>(I99-J$2)</f>
        <v>-2.3277506828308105</v>
      </c>
      <c r="L99" s="18">
        <f t="shared" si="13"/>
        <v>5.0202203283530462</v>
      </c>
      <c r="O99" s="13"/>
      <c r="P99"/>
      <c r="Q99" s="2"/>
      <c r="R99" s="19"/>
      <c r="S99"/>
      <c r="T99" s="2"/>
      <c r="U99" s="19"/>
      <c r="Z99" s="18"/>
    </row>
    <row r="100" spans="1:26">
      <c r="A100" t="s">
        <v>519</v>
      </c>
      <c r="B100" t="s">
        <v>512</v>
      </c>
      <c r="C100" s="2">
        <v>4.6774954795837402</v>
      </c>
      <c r="E100" t="s">
        <v>525</v>
      </c>
      <c r="F100" s="2">
        <v>20.280000686645508</v>
      </c>
      <c r="H100" s="16">
        <f t="shared" si="12"/>
        <v>15.602505207061768</v>
      </c>
      <c r="I100" s="16">
        <v>15.602505207061768</v>
      </c>
      <c r="K100" s="16">
        <f>(I100-J$2)</f>
        <v>-2.3097491264343262</v>
      </c>
      <c r="L100" s="18">
        <f t="shared" si="13"/>
        <v>4.9579685722089817</v>
      </c>
      <c r="O100" s="13"/>
      <c r="P100"/>
      <c r="Q100" s="2"/>
      <c r="S100"/>
      <c r="T100" s="2"/>
      <c r="Z100" s="18"/>
    </row>
    <row r="101" spans="1:26">
      <c r="A101" t="s">
        <v>519</v>
      </c>
      <c r="B101" t="s">
        <v>512</v>
      </c>
      <c r="C101" s="2">
        <v>4.6774954795837402</v>
      </c>
      <c r="E101" t="s">
        <v>525</v>
      </c>
      <c r="F101" s="2">
        <v>20.179000854492188</v>
      </c>
      <c r="H101" s="16">
        <f t="shared" si="12"/>
        <v>15.501505374908447</v>
      </c>
      <c r="I101" s="16">
        <v>15.501505374908447</v>
      </c>
      <c r="K101" s="16">
        <f>(I101-J$2)</f>
        <v>-2.4107489585876465</v>
      </c>
      <c r="L101" s="18">
        <f t="shared" si="13"/>
        <v>5.317503060703876</v>
      </c>
      <c r="O101" s="13"/>
      <c r="P101"/>
      <c r="Q101" s="2"/>
      <c r="S101"/>
      <c r="T101" s="2"/>
      <c r="Z101" s="18"/>
    </row>
    <row r="102" spans="1:26">
      <c r="A102" t="s">
        <v>520</v>
      </c>
      <c r="B102" t="s">
        <v>512</v>
      </c>
      <c r="C102" s="2">
        <v>4.6805324554443359</v>
      </c>
      <c r="D102" s="19">
        <f>AVERAGE(C102:C105)</f>
        <v>4.6805324554443359</v>
      </c>
      <c r="E102" t="s">
        <v>525</v>
      </c>
      <c r="F102" s="2">
        <v>20.583000183105469</v>
      </c>
      <c r="G102" s="19">
        <f>AVERAGE(F102:F105)</f>
        <v>20.596250057220459</v>
      </c>
      <c r="H102" s="16">
        <f t="shared" si="12"/>
        <v>15.902467727661133</v>
      </c>
      <c r="I102" s="16">
        <v>15.902467727661133</v>
      </c>
      <c r="J102" s="16">
        <f>AVERAGE(I102:I105)</f>
        <v>15.915717601776123</v>
      </c>
      <c r="K102" s="16">
        <f>(I102-J$2)</f>
        <v>-2.0097866058349609</v>
      </c>
      <c r="L102" s="18">
        <f t="shared" si="13"/>
        <v>4.0272264747497317</v>
      </c>
      <c r="O102" s="13"/>
      <c r="P102"/>
      <c r="Q102" s="2"/>
      <c r="S102"/>
      <c r="T102" s="2"/>
      <c r="Z102" s="18"/>
    </row>
    <row r="103" spans="1:26">
      <c r="A103" t="s">
        <v>520</v>
      </c>
      <c r="B103" t="s">
        <v>512</v>
      </c>
      <c r="C103" s="2">
        <v>4.6805324554443359</v>
      </c>
      <c r="E103" t="s">
        <v>525</v>
      </c>
      <c r="F103" s="2">
        <v>20.632999420166016</v>
      </c>
      <c r="H103" s="16">
        <f t="shared" si="12"/>
        <v>15.95246696472168</v>
      </c>
      <c r="I103" s="16">
        <v>15.95246696472168</v>
      </c>
      <c r="K103" s="16">
        <f>(I103-J$2)</f>
        <v>-1.9597873687744141</v>
      </c>
      <c r="L103" s="18">
        <f t="shared" si="13"/>
        <v>3.8900464139388014</v>
      </c>
      <c r="O103"/>
      <c r="P103"/>
      <c r="Q103" s="2"/>
      <c r="R103" s="19"/>
      <c r="S103"/>
      <c r="T103" s="2"/>
      <c r="U103" s="19"/>
      <c r="Z103" s="18"/>
    </row>
    <row r="104" spans="1:26">
      <c r="A104" t="s">
        <v>520</v>
      </c>
      <c r="B104" t="s">
        <v>512</v>
      </c>
      <c r="C104" s="2">
        <v>4.6805324554443359</v>
      </c>
      <c r="E104" t="s">
        <v>525</v>
      </c>
      <c r="F104" s="2">
        <v>20.51099967956543</v>
      </c>
      <c r="H104" s="16">
        <f t="shared" si="12"/>
        <v>15.830467224121094</v>
      </c>
      <c r="I104" s="16">
        <v>15.830467224121094</v>
      </c>
      <c r="K104" s="16">
        <f>(I104-J$2)</f>
        <v>-2.081787109375</v>
      </c>
      <c r="L104" s="18">
        <f t="shared" si="13"/>
        <v>4.2333128465594463</v>
      </c>
      <c r="O104"/>
      <c r="P104"/>
      <c r="Q104" s="2"/>
      <c r="S104"/>
      <c r="T104" s="2"/>
      <c r="Z104" s="18"/>
    </row>
    <row r="105" spans="1:26">
      <c r="A105" t="s">
        <v>520</v>
      </c>
      <c r="B105" t="s">
        <v>512</v>
      </c>
      <c r="C105" s="2">
        <v>4.6805324554443359</v>
      </c>
      <c r="E105" t="s">
        <v>525</v>
      </c>
      <c r="F105" s="2">
        <v>20.658000946044922</v>
      </c>
      <c r="H105" s="16">
        <f t="shared" si="12"/>
        <v>15.977468490600586</v>
      </c>
      <c r="I105" s="16">
        <v>15.977468490600586</v>
      </c>
      <c r="K105" s="16">
        <f>(I105-J$2)</f>
        <v>-1.9347858428955078</v>
      </c>
      <c r="L105" s="18">
        <f t="shared" si="13"/>
        <v>3.8232137012589149</v>
      </c>
      <c r="O105"/>
      <c r="P105"/>
      <c r="Q105" s="2"/>
      <c r="S105"/>
      <c r="T105" s="2"/>
      <c r="Z105" s="18"/>
    </row>
    <row r="106" spans="1:26">
      <c r="A106" t="s">
        <v>521</v>
      </c>
      <c r="B106" t="s">
        <v>512</v>
      </c>
      <c r="C106" s="2">
        <v>4.8045392036437988</v>
      </c>
      <c r="D106" s="19">
        <f>AVERAGE(C106:C109)</f>
        <v>4.8045392036437988</v>
      </c>
      <c r="E106" t="s">
        <v>525</v>
      </c>
      <c r="F106" s="2">
        <v>20.718000411987305</v>
      </c>
      <c r="G106" s="19">
        <f>AVERAGE(F106:F109)</f>
        <v>20.691999912261963</v>
      </c>
      <c r="H106" s="16">
        <f t="shared" si="12"/>
        <v>15.913461208343506</v>
      </c>
      <c r="I106" s="16">
        <v>15.913461208343506</v>
      </c>
      <c r="J106" s="16">
        <f>AVERAGE(I106:I109)</f>
        <v>15.887460708618164</v>
      </c>
      <c r="K106" s="16">
        <f>(I106-J$2)</f>
        <v>-1.9987931251525879</v>
      </c>
      <c r="L106" s="18">
        <f t="shared" si="13"/>
        <v>3.996655231623409</v>
      </c>
      <c r="O106"/>
      <c r="P106"/>
      <c r="Q106" s="2"/>
      <c r="S106"/>
      <c r="T106" s="2"/>
      <c r="Z106" s="18"/>
    </row>
    <row r="107" spans="1:26">
      <c r="A107" t="s">
        <v>521</v>
      </c>
      <c r="B107" t="s">
        <v>512</v>
      </c>
      <c r="C107" s="2">
        <v>4.8045392036437988</v>
      </c>
      <c r="E107" t="s">
        <v>525</v>
      </c>
      <c r="F107" s="2">
        <v>20.715999603271484</v>
      </c>
      <c r="H107" s="16">
        <f t="shared" si="12"/>
        <v>15.911460399627686</v>
      </c>
      <c r="I107" s="16">
        <v>15.911460399627686</v>
      </c>
      <c r="K107" s="16">
        <f>(I107-J$2)</f>
        <v>-2.0007939338684082</v>
      </c>
      <c r="L107" s="18">
        <f t="shared" si="13"/>
        <v>4.0022018578897196</v>
      </c>
      <c r="O107"/>
      <c r="P107"/>
      <c r="Q107" s="2"/>
      <c r="R107" s="19"/>
      <c r="S107"/>
      <c r="T107" s="2"/>
      <c r="U107" s="19"/>
      <c r="Z107" s="18"/>
    </row>
    <row r="108" spans="1:26">
      <c r="A108" t="s">
        <v>521</v>
      </c>
      <c r="B108" t="s">
        <v>512</v>
      </c>
      <c r="C108" s="2">
        <v>4.8045392036437988</v>
      </c>
      <c r="E108" t="s">
        <v>525</v>
      </c>
      <c r="F108" s="2">
        <v>20.650999069213867</v>
      </c>
      <c r="H108" s="16">
        <f t="shared" si="12"/>
        <v>15.846459865570068</v>
      </c>
      <c r="I108" s="16">
        <v>15.846459865570068</v>
      </c>
      <c r="K108" s="16">
        <f>(I108-J$2)</f>
        <v>-2.0657944679260254</v>
      </c>
      <c r="L108" s="18">
        <f t="shared" si="13"/>
        <v>4.186644639362167</v>
      </c>
      <c r="O108"/>
      <c r="P108"/>
      <c r="Q108" s="2"/>
      <c r="S108"/>
      <c r="T108" s="2"/>
      <c r="Z108" s="18"/>
    </row>
    <row r="109" spans="1:26">
      <c r="A109" t="s">
        <v>521</v>
      </c>
      <c r="B109" t="s">
        <v>512</v>
      </c>
      <c r="C109" s="2">
        <v>4.8045392036437988</v>
      </c>
      <c r="E109" t="s">
        <v>525</v>
      </c>
      <c r="F109" s="2">
        <v>20.683000564575195</v>
      </c>
      <c r="H109" s="16">
        <f t="shared" si="12"/>
        <v>15.878461360931396</v>
      </c>
      <c r="I109" s="16">
        <v>15.878461360931396</v>
      </c>
      <c r="K109" s="16">
        <f>(I109-J$2)</f>
        <v>-2.0337929725646973</v>
      </c>
      <c r="L109" s="18">
        <f t="shared" si="13"/>
        <v>4.0947999537794191</v>
      </c>
      <c r="O109"/>
      <c r="P109"/>
      <c r="Q109" s="2"/>
      <c r="S109"/>
      <c r="T109" s="2"/>
      <c r="Z109" s="18"/>
    </row>
    <row r="110" spans="1:26">
      <c r="A110" t="s">
        <v>522</v>
      </c>
      <c r="B110" t="s">
        <v>512</v>
      </c>
      <c r="C110" s="2">
        <v>4.7002372741699219</v>
      </c>
      <c r="D110" s="19">
        <f>AVERAGE(C110:C113)</f>
        <v>4.7002372741699219</v>
      </c>
      <c r="E110" t="s">
        <v>525</v>
      </c>
      <c r="F110" s="2">
        <v>20.089000701904297</v>
      </c>
      <c r="G110" s="19">
        <f>AVERAGE(F110:F113)</f>
        <v>20.2955002784729</v>
      </c>
      <c r="H110" s="20">
        <f>(F110-C113)</f>
        <v>15.388763427734375</v>
      </c>
      <c r="I110" s="16">
        <v>15.388763427734375</v>
      </c>
      <c r="J110" s="16">
        <f>AVERAGE(I110:I113)</f>
        <v>15.595263004302979</v>
      </c>
      <c r="K110" s="16">
        <f>(I110-J$2)</f>
        <v>-2.5234909057617188</v>
      </c>
      <c r="L110" s="18">
        <f t="shared" si="13"/>
        <v>5.7497168291796976</v>
      </c>
      <c r="O110"/>
      <c r="P110"/>
      <c r="Q110" s="2"/>
      <c r="S110"/>
      <c r="T110" s="2"/>
      <c r="Z110" s="18"/>
    </row>
    <row r="111" spans="1:26">
      <c r="A111" t="s">
        <v>522</v>
      </c>
      <c r="B111" t="s">
        <v>512</v>
      </c>
      <c r="C111" s="2">
        <v>4.7002372741699219</v>
      </c>
      <c r="E111" t="s">
        <v>525</v>
      </c>
      <c r="F111" s="2">
        <v>20.346000671386719</v>
      </c>
      <c r="H111" s="16">
        <f t="shared" ref="H111:I121" si="14">(F111-C111)</f>
        <v>15.645763397216797</v>
      </c>
      <c r="I111" s="16">
        <v>15.645763397216797</v>
      </c>
      <c r="K111" s="16">
        <f>(I111-J$2)</f>
        <v>-2.2664909362792969</v>
      </c>
      <c r="L111" s="18">
        <f t="shared" si="13"/>
        <v>4.8115140324346992</v>
      </c>
      <c r="O111"/>
      <c r="P111"/>
      <c r="Q111" s="2"/>
      <c r="R111" s="19"/>
      <c r="S111"/>
      <c r="T111" s="2"/>
      <c r="U111" s="19"/>
      <c r="Z111" s="18"/>
    </row>
    <row r="112" spans="1:26">
      <c r="A112" t="s">
        <v>522</v>
      </c>
      <c r="B112" t="s">
        <v>512</v>
      </c>
      <c r="C112" s="2">
        <v>4.7002372741699219</v>
      </c>
      <c r="E112" t="s">
        <v>525</v>
      </c>
      <c r="F112" s="2">
        <v>20.327999114990234</v>
      </c>
      <c r="H112" s="16">
        <f t="shared" si="14"/>
        <v>15.627761840820312</v>
      </c>
      <c r="I112" s="16">
        <v>15.627761840820312</v>
      </c>
      <c r="K112" s="16">
        <f>(I112-J$2)</f>
        <v>-2.2844924926757812</v>
      </c>
      <c r="L112" s="18">
        <f t="shared" si="13"/>
        <v>4.8719269200656949</v>
      </c>
      <c r="O112"/>
      <c r="P112"/>
      <c r="Q112" s="2"/>
      <c r="S112"/>
      <c r="T112" s="2"/>
      <c r="Z112" s="18"/>
    </row>
    <row r="113" spans="1:26">
      <c r="A113" t="s">
        <v>522</v>
      </c>
      <c r="B113" t="s">
        <v>512</v>
      </c>
      <c r="C113" s="2">
        <v>4.7002372741699219</v>
      </c>
      <c r="E113" t="s">
        <v>525</v>
      </c>
      <c r="F113" s="2">
        <v>20.419000625610352</v>
      </c>
      <c r="H113" s="16">
        <f t="shared" si="14"/>
        <v>15.71876335144043</v>
      </c>
      <c r="I113" s="16">
        <v>15.71876335144043</v>
      </c>
      <c r="K113" s="16">
        <f>(I113-J$2)</f>
        <v>-2.1934909820556641</v>
      </c>
      <c r="L113" s="18">
        <f t="shared" si="13"/>
        <v>4.574109750764431</v>
      </c>
      <c r="O113"/>
      <c r="P113"/>
      <c r="Q113" s="2"/>
      <c r="S113"/>
      <c r="T113" s="2"/>
      <c r="Z113" s="18"/>
    </row>
    <row r="114" spans="1:26">
      <c r="A114" t="s">
        <v>523</v>
      </c>
      <c r="B114" t="s">
        <v>512</v>
      </c>
      <c r="C114" s="2">
        <v>4.5536785125732422</v>
      </c>
      <c r="D114" s="19">
        <f>AVERAGE(C114:C117)</f>
        <v>4.5536785125732422</v>
      </c>
      <c r="E114" t="s">
        <v>525</v>
      </c>
      <c r="F114" s="2">
        <v>20.422000885009766</v>
      </c>
      <c r="G114" s="19">
        <f>AVERAGE(F114:F117)</f>
        <v>20.459499835968018</v>
      </c>
      <c r="H114" s="16">
        <f t="shared" si="14"/>
        <v>15.868322372436523</v>
      </c>
      <c r="I114" s="16">
        <v>15.868322372436523</v>
      </c>
      <c r="J114" s="16">
        <f>AVERAGE(I114:I117)</f>
        <v>15.905821323394775</v>
      </c>
      <c r="K114" s="16">
        <f>(I114-J$2)</f>
        <v>-2.0439319610595703</v>
      </c>
      <c r="L114" s="18">
        <f t="shared" si="13"/>
        <v>4.1236787937787538</v>
      </c>
      <c r="O114"/>
      <c r="P114"/>
      <c r="Q114" s="2"/>
      <c r="S114"/>
      <c r="T114" s="2"/>
      <c r="Z114" s="18"/>
    </row>
    <row r="115" spans="1:26">
      <c r="A115" t="s">
        <v>523</v>
      </c>
      <c r="B115" t="s">
        <v>512</v>
      </c>
      <c r="C115" s="2">
        <v>4.5536785125732422</v>
      </c>
      <c r="E115" t="s">
        <v>525</v>
      </c>
      <c r="F115" s="2">
        <v>20.504999160766602</v>
      </c>
      <c r="H115" s="16">
        <f t="shared" si="14"/>
        <v>15.951320648193359</v>
      </c>
      <c r="I115" s="16">
        <v>15.951320648193359</v>
      </c>
      <c r="K115" s="16">
        <f>(I115-J$2)</f>
        <v>-1.9609336853027344</v>
      </c>
      <c r="L115" s="18">
        <f t="shared" si="13"/>
        <v>3.8931385411156083</v>
      </c>
      <c r="O115"/>
      <c r="P115"/>
      <c r="Q115" s="2"/>
      <c r="R115" s="19"/>
      <c r="S115"/>
      <c r="T115" s="2"/>
      <c r="U115" s="19"/>
      <c r="Z115" s="18"/>
    </row>
    <row r="116" spans="1:26">
      <c r="A116" t="s">
        <v>523</v>
      </c>
      <c r="B116" t="s">
        <v>512</v>
      </c>
      <c r="C116" s="2">
        <v>4.5536785125732422</v>
      </c>
      <c r="E116" t="s">
        <v>525</v>
      </c>
      <c r="F116" s="2">
        <v>20.441999435424805</v>
      </c>
      <c r="H116" s="16">
        <f t="shared" si="14"/>
        <v>15.888320922851562</v>
      </c>
      <c r="I116" s="16">
        <v>15.888320922851562</v>
      </c>
      <c r="K116" s="16">
        <f>(I116-J$2)</f>
        <v>-2.0239334106445312</v>
      </c>
      <c r="L116" s="18">
        <f t="shared" si="13"/>
        <v>4.0669109755817194</v>
      </c>
      <c r="O116"/>
      <c r="P116"/>
      <c r="Q116" s="2"/>
      <c r="S116"/>
      <c r="T116" s="2"/>
      <c r="Z116" s="18"/>
    </row>
    <row r="117" spans="1:26">
      <c r="A117" t="s">
        <v>523</v>
      </c>
      <c r="B117" t="s">
        <v>512</v>
      </c>
      <c r="C117" s="2">
        <v>4.5536785125732422</v>
      </c>
      <c r="E117" t="s">
        <v>525</v>
      </c>
      <c r="F117" s="2">
        <v>20.468999862670898</v>
      </c>
      <c r="H117" s="16">
        <f t="shared" si="14"/>
        <v>15.915321350097656</v>
      </c>
      <c r="I117" s="16">
        <v>15.915321350097656</v>
      </c>
      <c r="K117" s="16">
        <f>(I117-J$2)</f>
        <v>-1.9969329833984375</v>
      </c>
      <c r="L117" s="18">
        <f t="shared" si="13"/>
        <v>3.99150545680761</v>
      </c>
      <c r="O117"/>
      <c r="P117"/>
      <c r="Q117" s="2"/>
      <c r="S117"/>
      <c r="T117" s="2"/>
      <c r="Z117" s="18"/>
    </row>
    <row r="118" spans="1:26">
      <c r="A118" t="s">
        <v>524</v>
      </c>
      <c r="B118" t="s">
        <v>512</v>
      </c>
      <c r="C118" s="2">
        <v>4.6530952453613281</v>
      </c>
      <c r="D118" s="19">
        <f>AVERAGE(C118:C121)</f>
        <v>4.6530952453613281</v>
      </c>
      <c r="E118" t="s">
        <v>525</v>
      </c>
      <c r="F118" s="2">
        <v>20.37700080871582</v>
      </c>
      <c r="G118" s="19">
        <f>AVERAGE(F118:F121)</f>
        <v>20.448250293731689</v>
      </c>
      <c r="H118" s="16">
        <f t="shared" si="14"/>
        <v>15.723905563354492</v>
      </c>
      <c r="I118" s="16">
        <v>15.723905563354492</v>
      </c>
      <c r="J118" s="16">
        <f>AVERAGE(I118:I121)</f>
        <v>15.795155048370361</v>
      </c>
      <c r="K118" s="16">
        <f>(I118-J$2)</f>
        <v>-2.1883487701416016</v>
      </c>
      <c r="L118" s="18">
        <f t="shared" si="13"/>
        <v>4.5578352280056071</v>
      </c>
      <c r="O118"/>
      <c r="P118"/>
      <c r="Q118" s="2"/>
      <c r="S118"/>
      <c r="T118" s="2"/>
      <c r="Z118" s="18"/>
    </row>
    <row r="119" spans="1:26">
      <c r="A119" t="s">
        <v>524</v>
      </c>
      <c r="B119" t="s">
        <v>512</v>
      </c>
      <c r="C119" s="2">
        <v>4.6530952453613281</v>
      </c>
      <c r="E119" t="s">
        <v>525</v>
      </c>
      <c r="F119" s="2">
        <v>20.441999435424805</v>
      </c>
      <c r="H119" s="16">
        <f t="shared" si="14"/>
        <v>15.788904190063477</v>
      </c>
      <c r="I119" s="16">
        <v>15.788904190063477</v>
      </c>
      <c r="K119" s="16">
        <f>(I119-J$2)</f>
        <v>-2.1233501434326172</v>
      </c>
      <c r="L119" s="18">
        <f t="shared" si="13"/>
        <v>4.3570453920139105</v>
      </c>
      <c r="O119"/>
      <c r="P119"/>
      <c r="Q119" s="2"/>
      <c r="R119" s="19"/>
      <c r="S119"/>
      <c r="T119" s="2"/>
      <c r="U119" s="19"/>
      <c r="Z119" s="18"/>
    </row>
    <row r="120" spans="1:26">
      <c r="A120" t="s">
        <v>524</v>
      </c>
      <c r="B120" t="s">
        <v>512</v>
      </c>
      <c r="C120" s="2">
        <v>4.6530952453613281</v>
      </c>
      <c r="E120" t="s">
        <v>525</v>
      </c>
      <c r="F120" s="2">
        <v>20.465000152587891</v>
      </c>
      <c r="H120" s="16">
        <f t="shared" si="14"/>
        <v>15.811904907226562</v>
      </c>
      <c r="I120" s="16">
        <v>15.811904907226562</v>
      </c>
      <c r="K120" s="16">
        <f>(I120-J$2)</f>
        <v>-2.1003494262695312</v>
      </c>
      <c r="L120" s="18">
        <f t="shared" si="13"/>
        <v>4.2881323264668163</v>
      </c>
      <c r="O120"/>
      <c r="P120"/>
      <c r="Q120" s="2"/>
      <c r="S120"/>
      <c r="T120" s="2"/>
      <c r="Z120" s="18"/>
    </row>
    <row r="121" spans="1:26">
      <c r="A121" t="s">
        <v>524</v>
      </c>
      <c r="B121" t="s">
        <v>512</v>
      </c>
      <c r="C121" s="2">
        <v>4.6530952453613281</v>
      </c>
      <c r="E121" t="s">
        <v>525</v>
      </c>
      <c r="F121" s="2">
        <v>20.509000778198242</v>
      </c>
      <c r="H121" s="16">
        <f t="shared" si="14"/>
        <v>15.855905532836914</v>
      </c>
      <c r="I121" s="16">
        <v>15.855905532836914</v>
      </c>
      <c r="K121" s="16">
        <f>(I121-J$2)</f>
        <v>-2.0563488006591797</v>
      </c>
      <c r="L121" s="18">
        <f t="shared" si="13"/>
        <v>4.1593232195283756</v>
      </c>
      <c r="O121"/>
      <c r="P121"/>
      <c r="Q121" s="2"/>
      <c r="S121"/>
      <c r="T121" s="2"/>
      <c r="Z121" s="18"/>
    </row>
    <row r="122" spans="1:26">
      <c r="A122" t="s">
        <v>519</v>
      </c>
      <c r="B122" t="s">
        <v>512</v>
      </c>
      <c r="C122" s="2">
        <v>4.6774954795837402</v>
      </c>
      <c r="D122" s="19">
        <f>AVERAGE(C122:C125)</f>
        <v>4.6774954795837402</v>
      </c>
      <c r="E122" t="s">
        <v>515</v>
      </c>
      <c r="F122" s="2">
        <v>13.670999526977539</v>
      </c>
      <c r="G122" s="19">
        <f>AVERAGE(F122:F125)</f>
        <v>13.724249839782715</v>
      </c>
      <c r="H122" s="16">
        <f t="shared" ref="H122:I133" si="15">(F122-C122)</f>
        <v>8.9935040473937988</v>
      </c>
      <c r="I122" s="16">
        <v>8.9935040473937988</v>
      </c>
      <c r="J122" s="16">
        <f>AVERAGE(I122:I125)</f>
        <v>9.0467543601989746</v>
      </c>
      <c r="K122" s="16">
        <f>(I122-J$2)</f>
        <v>-8.9187502861022949</v>
      </c>
      <c r="L122" s="18">
        <f t="shared" ref="L122:L145" si="16">2^(-K122)</f>
        <v>483.96210825860112</v>
      </c>
      <c r="O122"/>
      <c r="P122"/>
      <c r="Q122" s="2"/>
      <c r="S122"/>
      <c r="T122" s="2"/>
      <c r="Z122" s="18"/>
    </row>
    <row r="123" spans="1:26">
      <c r="A123" t="s">
        <v>519</v>
      </c>
      <c r="B123" t="s">
        <v>512</v>
      </c>
      <c r="C123" s="2">
        <v>4.6774954795837402</v>
      </c>
      <c r="E123" t="s">
        <v>515</v>
      </c>
      <c r="F123" s="2">
        <v>13.756999969482422</v>
      </c>
      <c r="H123" s="16">
        <f t="shared" si="15"/>
        <v>9.0795044898986816</v>
      </c>
      <c r="I123" s="16">
        <v>9.0795044898986816</v>
      </c>
      <c r="K123" s="16">
        <f>(I123-J$2)</f>
        <v>-8.8327498435974121</v>
      </c>
      <c r="L123" s="18">
        <f t="shared" si="16"/>
        <v>455.95569772411812</v>
      </c>
      <c r="O123" s="13"/>
      <c r="P123"/>
      <c r="Q123" s="2"/>
      <c r="R123" s="19"/>
      <c r="S123"/>
      <c r="T123" s="2"/>
      <c r="U123" s="19"/>
      <c r="Z123" s="18"/>
    </row>
    <row r="124" spans="1:26">
      <c r="A124" t="s">
        <v>519</v>
      </c>
      <c r="B124" t="s">
        <v>512</v>
      </c>
      <c r="C124" s="2">
        <v>4.6774954795837402</v>
      </c>
      <c r="E124" t="s">
        <v>515</v>
      </c>
      <c r="F124" s="2">
        <v>13.729999542236328</v>
      </c>
      <c r="H124" s="16">
        <f t="shared" si="15"/>
        <v>9.0525040626525879</v>
      </c>
      <c r="I124" s="16">
        <v>9.0525040626525879</v>
      </c>
      <c r="K124" s="16">
        <f>(I124-J$2)</f>
        <v>-8.8597502708435059</v>
      </c>
      <c r="L124" s="18">
        <f t="shared" si="16"/>
        <v>464.56938403795237</v>
      </c>
      <c r="O124" s="13"/>
      <c r="P124"/>
      <c r="Q124" s="2"/>
      <c r="S124"/>
      <c r="T124" s="2"/>
      <c r="Z124" s="18"/>
    </row>
    <row r="125" spans="1:26">
      <c r="A125" t="s">
        <v>519</v>
      </c>
      <c r="B125" t="s">
        <v>512</v>
      </c>
      <c r="C125" s="2">
        <v>4.6774954795837402</v>
      </c>
      <c r="E125" t="s">
        <v>515</v>
      </c>
      <c r="F125" s="2">
        <v>13.73900032043457</v>
      </c>
      <c r="H125" s="16">
        <f t="shared" si="15"/>
        <v>9.0615048408508301</v>
      </c>
      <c r="I125" s="16">
        <v>9.0615048408508301</v>
      </c>
      <c r="K125" s="16">
        <f>(I125-J$2)</f>
        <v>-8.8507494926452637</v>
      </c>
      <c r="L125" s="18">
        <f t="shared" si="16"/>
        <v>461.68002136041957</v>
      </c>
      <c r="O125" s="13"/>
      <c r="P125"/>
      <c r="Q125" s="2"/>
      <c r="S125"/>
      <c r="T125" s="2"/>
      <c r="Z125" s="18"/>
    </row>
    <row r="126" spans="1:26">
      <c r="A126" t="s">
        <v>520</v>
      </c>
      <c r="B126" t="s">
        <v>512</v>
      </c>
      <c r="C126" s="2">
        <v>4.6805324554443359</v>
      </c>
      <c r="D126" s="19">
        <f>AVERAGE(C126:C129)</f>
        <v>4.6805324554443359</v>
      </c>
      <c r="E126" t="s">
        <v>515</v>
      </c>
      <c r="F126" s="2">
        <v>14.081999778747559</v>
      </c>
      <c r="G126" s="19">
        <f>AVERAGE(F126:F129)</f>
        <v>14.122750043869019</v>
      </c>
      <c r="H126" s="16">
        <f t="shared" si="15"/>
        <v>9.4014673233032227</v>
      </c>
      <c r="I126" s="16">
        <v>9.4014673233032227</v>
      </c>
      <c r="J126" s="16">
        <f>AVERAGE(I126:I129)</f>
        <v>9.4422175884246826</v>
      </c>
      <c r="K126" s="16">
        <f>(I126-J$2)</f>
        <v>-8.5107870101928711</v>
      </c>
      <c r="L126" s="18">
        <f t="shared" si="16"/>
        <v>364.75577515380695</v>
      </c>
      <c r="O126" s="13"/>
      <c r="P126"/>
      <c r="Q126" s="2"/>
      <c r="S126"/>
      <c r="T126" s="2"/>
      <c r="Z126" s="18"/>
    </row>
    <row r="127" spans="1:26">
      <c r="A127" t="s">
        <v>520</v>
      </c>
      <c r="B127" t="s">
        <v>512</v>
      </c>
      <c r="C127" s="2">
        <v>4.6805324554443359</v>
      </c>
      <c r="E127" t="s">
        <v>515</v>
      </c>
      <c r="F127" s="2">
        <v>14.12600040435791</v>
      </c>
      <c r="H127" s="16">
        <f t="shared" si="15"/>
        <v>9.4454679489135742</v>
      </c>
      <c r="I127" s="16">
        <v>9.4454679489135742</v>
      </c>
      <c r="K127" s="16">
        <f>(I127-J$2)</f>
        <v>-8.4667863845825195</v>
      </c>
      <c r="L127" s="18">
        <f t="shared" si="16"/>
        <v>353.79905505489319</v>
      </c>
      <c r="O127"/>
      <c r="P127"/>
      <c r="Q127" s="2"/>
      <c r="R127" s="19"/>
      <c r="S127"/>
      <c r="T127" s="2"/>
      <c r="U127" s="19"/>
      <c r="Z127" s="18"/>
    </row>
    <row r="128" spans="1:26">
      <c r="A128" t="s">
        <v>520</v>
      </c>
      <c r="B128" t="s">
        <v>512</v>
      </c>
      <c r="C128" s="2">
        <v>4.6805324554443359</v>
      </c>
      <c r="E128" t="s">
        <v>515</v>
      </c>
      <c r="F128" s="2">
        <v>14.154000282287598</v>
      </c>
      <c r="H128" s="16">
        <f t="shared" si="15"/>
        <v>9.4734678268432617</v>
      </c>
      <c r="I128" s="16">
        <v>9.4734678268432617</v>
      </c>
      <c r="K128" s="16">
        <f>(I128-J$2)</f>
        <v>-8.438786506652832</v>
      </c>
      <c r="L128" s="18">
        <f t="shared" si="16"/>
        <v>346.9987141893231</v>
      </c>
      <c r="O128"/>
      <c r="P128"/>
      <c r="Q128" s="2"/>
      <c r="S128"/>
      <c r="T128" s="2"/>
      <c r="Z128" s="18"/>
    </row>
    <row r="129" spans="1:26">
      <c r="A129" t="s">
        <v>520</v>
      </c>
      <c r="B129" t="s">
        <v>512</v>
      </c>
      <c r="C129" s="2">
        <v>4.6805324554443359</v>
      </c>
      <c r="E129" t="s">
        <v>515</v>
      </c>
      <c r="F129" s="2">
        <v>14.128999710083008</v>
      </c>
      <c r="H129" s="16">
        <f t="shared" si="15"/>
        <v>9.4484672546386719</v>
      </c>
      <c r="I129" s="16">
        <v>9.4484672546386719</v>
      </c>
      <c r="K129" s="16">
        <f>(I129-J$2)</f>
        <v>-8.4637870788574219</v>
      </c>
      <c r="L129" s="18">
        <f t="shared" si="16"/>
        <v>353.06428490641508</v>
      </c>
      <c r="O129"/>
      <c r="P129"/>
      <c r="Q129" s="2"/>
      <c r="S129"/>
      <c r="T129" s="2"/>
      <c r="Z129" s="18"/>
    </row>
    <row r="130" spans="1:26">
      <c r="A130" t="s">
        <v>521</v>
      </c>
      <c r="B130" t="s">
        <v>512</v>
      </c>
      <c r="C130" s="2">
        <v>4.8045392036437988</v>
      </c>
      <c r="D130" s="19">
        <f>AVERAGE(C130:C133)</f>
        <v>4.8045392036437988</v>
      </c>
      <c r="E130" t="s">
        <v>515</v>
      </c>
      <c r="F130" s="2">
        <v>14.840999603271484</v>
      </c>
      <c r="G130" s="19">
        <f>AVERAGE(F130:F133)</f>
        <v>14.674499988555908</v>
      </c>
      <c r="H130" s="16">
        <f t="shared" si="15"/>
        <v>10.036460399627686</v>
      </c>
      <c r="I130" s="16">
        <v>10.036460399627686</v>
      </c>
      <c r="J130" s="16">
        <f>AVERAGE(I130:I133)</f>
        <v>9.8699607849121094</v>
      </c>
      <c r="K130" s="16">
        <f>(I130-J$2)</f>
        <v>-7.8757939338684082</v>
      </c>
      <c r="L130" s="18">
        <f t="shared" si="16"/>
        <v>234.88225826599168</v>
      </c>
      <c r="O130"/>
      <c r="P130"/>
      <c r="Q130" s="2"/>
      <c r="S130"/>
      <c r="T130" s="2"/>
      <c r="Z130" s="18"/>
    </row>
    <row r="131" spans="1:26">
      <c r="A131" t="s">
        <v>521</v>
      </c>
      <c r="B131" t="s">
        <v>512</v>
      </c>
      <c r="C131" s="2">
        <v>4.8045392036437988</v>
      </c>
      <c r="E131" t="s">
        <v>515</v>
      </c>
      <c r="F131" s="2">
        <v>14.633999824523926</v>
      </c>
      <c r="H131" s="16">
        <f t="shared" si="15"/>
        <v>9.829460620880127</v>
      </c>
      <c r="I131" s="16">
        <v>9.829460620880127</v>
      </c>
      <c r="K131" s="16">
        <f>(I131-J$2)</f>
        <v>-8.0827937126159668</v>
      </c>
      <c r="L131" s="18">
        <f t="shared" si="16"/>
        <v>271.12112397058206</v>
      </c>
      <c r="O131"/>
      <c r="P131"/>
      <c r="Q131" s="2"/>
      <c r="R131" s="19"/>
      <c r="S131"/>
      <c r="T131" s="2"/>
      <c r="U131" s="19"/>
      <c r="Z131" s="18"/>
    </row>
    <row r="132" spans="1:26">
      <c r="A132" t="s">
        <v>521</v>
      </c>
      <c r="B132" t="s">
        <v>512</v>
      </c>
      <c r="C132" s="2">
        <v>4.8045392036437988</v>
      </c>
      <c r="E132" t="s">
        <v>515</v>
      </c>
      <c r="F132" s="2">
        <v>14.555000305175781</v>
      </c>
      <c r="H132" s="16">
        <f t="shared" si="15"/>
        <v>9.7504611015319824</v>
      </c>
      <c r="I132" s="16">
        <v>9.7504611015319824</v>
      </c>
      <c r="K132" s="16">
        <f>(I132-J$2)</f>
        <v>-8.1617932319641113</v>
      </c>
      <c r="L132" s="18">
        <f t="shared" si="16"/>
        <v>286.38125056786146</v>
      </c>
      <c r="O132"/>
      <c r="P132"/>
      <c r="Q132" s="2"/>
      <c r="S132"/>
      <c r="T132" s="2"/>
      <c r="Z132" s="18"/>
    </row>
    <row r="133" spans="1:26">
      <c r="A133" t="s">
        <v>521</v>
      </c>
      <c r="B133" t="s">
        <v>512</v>
      </c>
      <c r="C133" s="2">
        <v>4.8045392036437988</v>
      </c>
      <c r="E133" t="s">
        <v>515</v>
      </c>
      <c r="F133" s="2">
        <v>14.668000221252441</v>
      </c>
      <c r="H133" s="16">
        <f t="shared" si="15"/>
        <v>9.8634610176086426</v>
      </c>
      <c r="I133" s="16">
        <v>9.8634610176086426</v>
      </c>
      <c r="K133" s="16">
        <f>(I133-J$2)</f>
        <v>-8.0487933158874512</v>
      </c>
      <c r="L133" s="18">
        <f t="shared" si="16"/>
        <v>264.806241344483</v>
      </c>
      <c r="O133"/>
      <c r="P133"/>
      <c r="Q133" s="2"/>
      <c r="S133"/>
      <c r="T133" s="2"/>
      <c r="Z133" s="18"/>
    </row>
    <row r="134" spans="1:26">
      <c r="A134" t="s">
        <v>522</v>
      </c>
      <c r="B134" t="s">
        <v>512</v>
      </c>
      <c r="C134" s="2">
        <v>4.7002372741699219</v>
      </c>
      <c r="D134" s="19">
        <f>AVERAGE(C134:C137)</f>
        <v>4.7002372741699219</v>
      </c>
      <c r="E134" t="s">
        <v>515</v>
      </c>
      <c r="F134" s="2">
        <v>13.496999740600586</v>
      </c>
      <c r="G134" s="19">
        <f>AVERAGE(F134:F137)</f>
        <v>13.593749761581421</v>
      </c>
      <c r="H134" s="20">
        <f>(F134-C137)</f>
        <v>8.7967624664306641</v>
      </c>
      <c r="I134" s="16">
        <v>8.7967624664306641</v>
      </c>
      <c r="J134" s="16">
        <f>AVERAGE(I134:I137)</f>
        <v>8.893512487411499</v>
      </c>
      <c r="K134" s="16">
        <f>(I134-J$2)</f>
        <v>-9.1154918670654297</v>
      </c>
      <c r="L134" s="18">
        <f t="shared" si="16"/>
        <v>554.67229898053677</v>
      </c>
      <c r="O134"/>
      <c r="P134"/>
      <c r="Q134" s="2"/>
      <c r="S134"/>
      <c r="T134" s="2"/>
      <c r="Z134" s="18"/>
    </row>
    <row r="135" spans="1:26">
      <c r="A135" t="s">
        <v>522</v>
      </c>
      <c r="B135" t="s">
        <v>512</v>
      </c>
      <c r="C135" s="2">
        <v>4.7002372741699219</v>
      </c>
      <c r="E135" t="s">
        <v>515</v>
      </c>
      <c r="F135" s="2">
        <v>13.569999694824219</v>
      </c>
      <c r="H135" s="16">
        <f t="shared" ref="H135:I145" si="17">(F135-C135)</f>
        <v>8.8697624206542969</v>
      </c>
      <c r="I135" s="16">
        <v>8.8697624206542969</v>
      </c>
      <c r="K135" s="16">
        <f>(I135-J$2)</f>
        <v>-9.0424919128417969</v>
      </c>
      <c r="L135" s="18">
        <f t="shared" si="16"/>
        <v>527.30428595715227</v>
      </c>
      <c r="O135"/>
      <c r="P135"/>
      <c r="Q135" s="2"/>
      <c r="R135" s="19"/>
      <c r="S135"/>
      <c r="T135" s="2"/>
      <c r="U135" s="19"/>
      <c r="Z135" s="18"/>
    </row>
    <row r="136" spans="1:26">
      <c r="A136" t="s">
        <v>522</v>
      </c>
      <c r="B136" t="s">
        <v>512</v>
      </c>
      <c r="C136" s="2">
        <v>4.7002372741699219</v>
      </c>
      <c r="E136" t="s">
        <v>515</v>
      </c>
      <c r="F136" s="2">
        <v>13.673999786376953</v>
      </c>
      <c r="H136" s="16">
        <f t="shared" si="17"/>
        <v>8.9737625122070312</v>
      </c>
      <c r="I136" s="16">
        <v>8.9737625122070312</v>
      </c>
      <c r="K136" s="16">
        <f>(I136-J$2)</f>
        <v>-8.9384918212890625</v>
      </c>
      <c r="L136" s="18">
        <f t="shared" si="16"/>
        <v>490.63006123901624</v>
      </c>
      <c r="O136"/>
      <c r="P136"/>
      <c r="Q136" s="2"/>
      <c r="S136"/>
      <c r="T136" s="2"/>
      <c r="Z136" s="18"/>
    </row>
    <row r="137" spans="1:26">
      <c r="A137" t="s">
        <v>522</v>
      </c>
      <c r="B137" t="s">
        <v>512</v>
      </c>
      <c r="C137" s="2">
        <v>4.7002372741699219</v>
      </c>
      <c r="E137" t="s">
        <v>515</v>
      </c>
      <c r="F137" s="2">
        <v>13.633999824523926</v>
      </c>
      <c r="H137" s="16">
        <f t="shared" si="17"/>
        <v>8.9337625503540039</v>
      </c>
      <c r="I137" s="16">
        <v>8.9337625503540039</v>
      </c>
      <c r="K137" s="16">
        <f>(I137-J$2)</f>
        <v>-8.9784917831420898</v>
      </c>
      <c r="L137" s="18">
        <f t="shared" si="16"/>
        <v>504.42353639524697</v>
      </c>
      <c r="O137"/>
      <c r="P137"/>
      <c r="Q137" s="2"/>
      <c r="S137"/>
      <c r="T137" s="2"/>
      <c r="Z137" s="18"/>
    </row>
    <row r="138" spans="1:26">
      <c r="A138" t="s">
        <v>523</v>
      </c>
      <c r="B138" t="s">
        <v>512</v>
      </c>
      <c r="C138" s="2">
        <v>4.5536785125732422</v>
      </c>
      <c r="D138" s="19">
        <f>AVERAGE(C138:C141)</f>
        <v>4.5536785125732422</v>
      </c>
      <c r="E138" t="s">
        <v>515</v>
      </c>
      <c r="F138" s="2">
        <v>13.628999710083008</v>
      </c>
      <c r="G138" s="19">
        <f>AVERAGE(F138:F141)</f>
        <v>13.816750049591064</v>
      </c>
      <c r="H138" s="16">
        <f t="shared" si="17"/>
        <v>9.0753211975097656</v>
      </c>
      <c r="I138" s="16">
        <v>9.0753211975097656</v>
      </c>
      <c r="J138" s="16">
        <f>AVERAGE(I138:I141)</f>
        <v>9.2630715370178223</v>
      </c>
      <c r="K138" s="16">
        <f>(I138-J$2)</f>
        <v>-8.8369331359863281</v>
      </c>
      <c r="L138" s="18">
        <f t="shared" si="16"/>
        <v>457.27972255192685</v>
      </c>
      <c r="O138"/>
      <c r="P138"/>
      <c r="Q138" s="2"/>
      <c r="S138"/>
      <c r="T138" s="2"/>
      <c r="Z138" s="18"/>
    </row>
    <row r="139" spans="1:26">
      <c r="A139" t="s">
        <v>523</v>
      </c>
      <c r="B139" t="s">
        <v>512</v>
      </c>
      <c r="C139" s="2">
        <v>4.5536785125732422</v>
      </c>
      <c r="E139" t="s">
        <v>515</v>
      </c>
      <c r="F139" s="2">
        <v>13.741000175476074</v>
      </c>
      <c r="H139" s="16">
        <f t="shared" si="17"/>
        <v>9.187321662902832</v>
      </c>
      <c r="I139" s="16">
        <v>9.187321662902832</v>
      </c>
      <c r="K139" s="16">
        <f>(I139-J$2)</f>
        <v>-8.7249326705932617</v>
      </c>
      <c r="L139" s="18">
        <f t="shared" si="16"/>
        <v>423.12281563574544</v>
      </c>
      <c r="O139"/>
      <c r="P139"/>
      <c r="Q139" s="2"/>
      <c r="R139" s="19"/>
      <c r="S139"/>
      <c r="T139" s="2"/>
      <c r="U139" s="19"/>
      <c r="Z139" s="18"/>
    </row>
    <row r="140" spans="1:26">
      <c r="A140" t="s">
        <v>523</v>
      </c>
      <c r="B140" t="s">
        <v>512</v>
      </c>
      <c r="C140" s="2">
        <v>4.5536785125732422</v>
      </c>
      <c r="E140" t="s">
        <v>515</v>
      </c>
      <c r="F140" s="2">
        <v>13.909999847412109</v>
      </c>
      <c r="H140" s="16">
        <f t="shared" si="17"/>
        <v>9.3563213348388672</v>
      </c>
      <c r="I140" s="16">
        <v>9.3563213348388672</v>
      </c>
      <c r="K140" s="16">
        <f>(I140-J$2)</f>
        <v>-8.5559329986572266</v>
      </c>
      <c r="L140" s="18">
        <f t="shared" si="16"/>
        <v>376.35047931910572</v>
      </c>
      <c r="O140"/>
      <c r="P140"/>
      <c r="Q140" s="2"/>
      <c r="S140"/>
      <c r="T140" s="2"/>
      <c r="Z140" s="18"/>
    </row>
    <row r="141" spans="1:26">
      <c r="A141" t="s">
        <v>523</v>
      </c>
      <c r="B141" t="s">
        <v>512</v>
      </c>
      <c r="C141" s="2">
        <v>4.5536785125732422</v>
      </c>
      <c r="E141" t="s">
        <v>515</v>
      </c>
      <c r="F141" s="2">
        <v>13.987000465393066</v>
      </c>
      <c r="H141" s="16">
        <f t="shared" si="17"/>
        <v>9.4333219528198242</v>
      </c>
      <c r="I141" s="16">
        <v>9.4333219528198242</v>
      </c>
      <c r="K141" s="16">
        <f>(I141-J$2)</f>
        <v>-8.4789323806762695</v>
      </c>
      <c r="L141" s="18">
        <f t="shared" si="16"/>
        <v>356.79024990183933</v>
      </c>
      <c r="O141"/>
      <c r="P141"/>
      <c r="Q141" s="2"/>
      <c r="S141"/>
      <c r="T141" s="2"/>
      <c r="Z141" s="18"/>
    </row>
    <row r="142" spans="1:26">
      <c r="A142" t="s">
        <v>524</v>
      </c>
      <c r="B142" t="s">
        <v>512</v>
      </c>
      <c r="C142" s="2">
        <v>4.6530952453613281</v>
      </c>
      <c r="D142" s="19">
        <f>AVERAGE(C142:C145)</f>
        <v>4.6530952453613281</v>
      </c>
      <c r="E142" t="s">
        <v>515</v>
      </c>
      <c r="F142" s="2">
        <v>13.788000106811523</v>
      </c>
      <c r="G142" s="19">
        <f>AVERAGE(F142:F145)</f>
        <v>13.869500160217285</v>
      </c>
      <c r="H142" s="16">
        <f t="shared" si="17"/>
        <v>9.1349048614501953</v>
      </c>
      <c r="I142" s="16">
        <v>9.1349048614501953</v>
      </c>
      <c r="J142" s="16">
        <f>AVERAGE(I142:I145)</f>
        <v>9.216404914855957</v>
      </c>
      <c r="K142" s="16">
        <f>(I142-J$2)</f>
        <v>-8.7773494720458984</v>
      </c>
      <c r="L142" s="18">
        <f t="shared" si="16"/>
        <v>438.77863575920247</v>
      </c>
      <c r="O142"/>
      <c r="P142"/>
      <c r="Q142" s="2"/>
      <c r="S142"/>
      <c r="T142" s="2"/>
      <c r="Z142" s="18"/>
    </row>
    <row r="143" spans="1:26">
      <c r="A143" t="s">
        <v>524</v>
      </c>
      <c r="B143" t="s">
        <v>512</v>
      </c>
      <c r="C143" s="2">
        <v>4.6530952453613281</v>
      </c>
      <c r="E143" t="s">
        <v>515</v>
      </c>
      <c r="F143" s="2">
        <v>13.906000137329102</v>
      </c>
      <c r="H143" s="16">
        <f t="shared" si="17"/>
        <v>9.2529048919677734</v>
      </c>
      <c r="I143" s="16">
        <v>9.2529048919677734</v>
      </c>
      <c r="K143" s="16">
        <f>(I143-J$2)</f>
        <v>-8.6593494415283203</v>
      </c>
      <c r="L143" s="18">
        <f t="shared" si="16"/>
        <v>404.31878996860547</v>
      </c>
      <c r="O143"/>
      <c r="P143"/>
      <c r="Q143" s="2"/>
      <c r="R143" s="19"/>
      <c r="S143"/>
      <c r="T143" s="2"/>
      <c r="U143" s="19"/>
      <c r="Z143" s="18"/>
    </row>
    <row r="144" spans="1:26">
      <c r="A144" t="s">
        <v>524</v>
      </c>
      <c r="B144" t="s">
        <v>512</v>
      </c>
      <c r="C144" s="2">
        <v>4.6530952453613281</v>
      </c>
      <c r="E144" t="s">
        <v>515</v>
      </c>
      <c r="F144" s="2">
        <v>13.855999946594238</v>
      </c>
      <c r="H144" s="16">
        <f t="shared" si="17"/>
        <v>9.2029047012329102</v>
      </c>
      <c r="I144" s="16">
        <v>9.2029047012329102</v>
      </c>
      <c r="K144" s="16">
        <f>(I144-J$2)</f>
        <v>-8.7093496322631836</v>
      </c>
      <c r="L144" s="18">
        <f t="shared" si="16"/>
        <v>418.57711664344669</v>
      </c>
      <c r="O144"/>
      <c r="P144"/>
      <c r="Q144" s="2"/>
      <c r="S144"/>
      <c r="T144" s="2"/>
      <c r="Z144" s="18"/>
    </row>
    <row r="145" spans="1:26">
      <c r="A145" t="s">
        <v>524</v>
      </c>
      <c r="B145" t="s">
        <v>512</v>
      </c>
      <c r="C145" s="2">
        <v>4.6530952453613281</v>
      </c>
      <c r="E145" t="s">
        <v>515</v>
      </c>
      <c r="F145" s="2">
        <v>13.928000450134277</v>
      </c>
      <c r="H145" s="16">
        <f t="shared" si="17"/>
        <v>9.2749052047729492</v>
      </c>
      <c r="I145" s="16">
        <v>9.2749052047729492</v>
      </c>
      <c r="K145" s="16">
        <f>(I145-J$2)</f>
        <v>-8.6373491287231445</v>
      </c>
      <c r="L145" s="18">
        <f t="shared" si="16"/>
        <v>398.19992213448717</v>
      </c>
      <c r="O145"/>
      <c r="P145"/>
      <c r="Q145" s="2"/>
      <c r="S145"/>
      <c r="T145" s="2"/>
      <c r="Z145" s="18"/>
    </row>
    <row r="146" spans="1:26">
      <c r="A146" t="s">
        <v>519</v>
      </c>
      <c r="B146" t="s">
        <v>512</v>
      </c>
      <c r="C146" s="2">
        <v>4.6774954795837402</v>
      </c>
      <c r="D146" s="19">
        <f>AVERAGE(C146:C149)</f>
        <v>4.6774954795837402</v>
      </c>
      <c r="E146" t="s">
        <v>514</v>
      </c>
      <c r="F146" s="2">
        <v>26.868000030517578</v>
      </c>
      <c r="G146" s="19">
        <f>AVERAGE(F146:F149)</f>
        <v>26.945000648498535</v>
      </c>
      <c r="H146" s="16">
        <f t="shared" ref="H146:I157" si="18">(F146-C146)</f>
        <v>22.190504550933838</v>
      </c>
      <c r="I146" s="16">
        <v>22.190504550933838</v>
      </c>
      <c r="J146" s="16">
        <f>AVERAGE(I146:I149)</f>
        <v>22.267505168914795</v>
      </c>
      <c r="K146" s="16">
        <f>(I146-J$2)</f>
        <v>4.2782502174377441</v>
      </c>
      <c r="L146" s="18">
        <f t="shared" ref="L146:L169" si="19">2^(-K146)</f>
        <v>5.1536907579954445E-2</v>
      </c>
      <c r="O146"/>
      <c r="P146"/>
      <c r="Q146" s="2"/>
      <c r="S146"/>
      <c r="T146" s="2"/>
      <c r="Z146" s="18"/>
    </row>
    <row r="147" spans="1:26">
      <c r="A147" t="s">
        <v>519</v>
      </c>
      <c r="B147" t="s">
        <v>512</v>
      </c>
      <c r="C147" s="2">
        <v>4.6774954795837402</v>
      </c>
      <c r="E147" t="s">
        <v>514</v>
      </c>
      <c r="F147" s="2">
        <v>27.068000793457031</v>
      </c>
      <c r="H147" s="16">
        <f t="shared" si="18"/>
        <v>22.390505313873291</v>
      </c>
      <c r="I147" s="16">
        <v>22.390505313873291</v>
      </c>
      <c r="K147" s="16">
        <f>(I147-J$2)</f>
        <v>4.4782509803771973</v>
      </c>
      <c r="L147" s="18">
        <f t="shared" si="19"/>
        <v>4.4865460198092073E-2</v>
      </c>
      <c r="O147" s="13"/>
      <c r="P147"/>
      <c r="Q147" s="2"/>
      <c r="R147" s="19"/>
      <c r="S147"/>
      <c r="T147" s="2"/>
      <c r="U147" s="19"/>
      <c r="Z147" s="18"/>
    </row>
    <row r="148" spans="1:26">
      <c r="A148" t="s">
        <v>519</v>
      </c>
      <c r="B148" t="s">
        <v>512</v>
      </c>
      <c r="C148" s="2">
        <v>4.6774954795837402</v>
      </c>
      <c r="E148" t="s">
        <v>514</v>
      </c>
      <c r="F148" s="2">
        <v>26.995000839233398</v>
      </c>
      <c r="H148" s="16">
        <f t="shared" si="18"/>
        <v>22.317505359649658</v>
      </c>
      <c r="I148" s="16">
        <v>22.317505359649658</v>
      </c>
      <c r="K148" s="16">
        <f>(I148-J$2)</f>
        <v>4.4052510261535645</v>
      </c>
      <c r="L148" s="18">
        <f t="shared" si="19"/>
        <v>4.7194055909717481E-2</v>
      </c>
      <c r="O148" s="13"/>
      <c r="P148"/>
      <c r="Q148" s="2"/>
      <c r="S148"/>
      <c r="T148" s="2"/>
      <c r="Z148" s="18"/>
    </row>
    <row r="149" spans="1:26">
      <c r="A149" t="s">
        <v>519</v>
      </c>
      <c r="B149" t="s">
        <v>512</v>
      </c>
      <c r="C149" s="2">
        <v>4.6774954795837402</v>
      </c>
      <c r="E149" t="s">
        <v>514</v>
      </c>
      <c r="F149" s="2">
        <v>26.849000930786133</v>
      </c>
      <c r="H149" s="16">
        <f t="shared" si="18"/>
        <v>22.171505451202393</v>
      </c>
      <c r="I149" s="16">
        <v>22.171505451202393</v>
      </c>
      <c r="K149" s="16">
        <f>(I149-J$2)</f>
        <v>4.2592511177062988</v>
      </c>
      <c r="L149" s="18">
        <f t="shared" si="19"/>
        <v>5.2220094631928865E-2</v>
      </c>
      <c r="O149" s="13"/>
      <c r="P149"/>
      <c r="Q149" s="2"/>
      <c r="S149"/>
      <c r="T149" s="2"/>
      <c r="Z149" s="18"/>
    </row>
    <row r="150" spans="1:26">
      <c r="A150" t="s">
        <v>520</v>
      </c>
      <c r="B150" t="s">
        <v>512</v>
      </c>
      <c r="C150" s="2">
        <v>4.6805324554443359</v>
      </c>
      <c r="D150" s="19">
        <f>AVERAGE(C150:C153)</f>
        <v>4.6805324554443359</v>
      </c>
      <c r="E150" t="s">
        <v>514</v>
      </c>
      <c r="F150" s="2">
        <v>26.430000305175781</v>
      </c>
      <c r="G150" s="19">
        <f>AVERAGE(F150:F153)</f>
        <v>26.30424976348877</v>
      </c>
      <c r="H150" s="16">
        <f t="shared" si="18"/>
        <v>21.749467849731445</v>
      </c>
      <c r="I150" s="16">
        <v>21.749467849731445</v>
      </c>
      <c r="J150" s="16">
        <f>AVERAGE(I150:I153)</f>
        <v>21.623717308044434</v>
      </c>
      <c r="K150" s="16">
        <f>(I150-J$2)</f>
        <v>3.8372135162353516</v>
      </c>
      <c r="L150" s="18">
        <f t="shared" si="19"/>
        <v>6.9965450015586489E-2</v>
      </c>
      <c r="O150" s="13"/>
      <c r="P150"/>
      <c r="Q150" s="2"/>
      <c r="S150"/>
      <c r="T150" s="2"/>
      <c r="Z150" s="18"/>
    </row>
    <row r="151" spans="1:26">
      <c r="A151" t="s">
        <v>520</v>
      </c>
      <c r="B151" t="s">
        <v>512</v>
      </c>
      <c r="C151" s="2">
        <v>4.6805324554443359</v>
      </c>
      <c r="E151" t="s">
        <v>514</v>
      </c>
      <c r="F151" s="2">
        <v>26.268999099731445</v>
      </c>
      <c r="H151" s="16">
        <f t="shared" si="18"/>
        <v>21.588466644287109</v>
      </c>
      <c r="I151" s="16">
        <v>21.588466644287109</v>
      </c>
      <c r="K151" s="16">
        <f>(I151-J$2)</f>
        <v>3.6762123107910156</v>
      </c>
      <c r="L151" s="18">
        <f t="shared" si="19"/>
        <v>7.8225765909624351E-2</v>
      </c>
      <c r="O151"/>
      <c r="P151"/>
      <c r="Q151" s="2"/>
      <c r="R151" s="19"/>
      <c r="S151"/>
      <c r="T151" s="2"/>
      <c r="U151" s="19"/>
      <c r="Z151" s="18"/>
    </row>
    <row r="152" spans="1:26">
      <c r="A152" t="s">
        <v>520</v>
      </c>
      <c r="B152" t="s">
        <v>512</v>
      </c>
      <c r="C152" s="2">
        <v>4.6805324554443359</v>
      </c>
      <c r="E152" t="s">
        <v>514</v>
      </c>
      <c r="F152" s="2">
        <v>26.209999084472656</v>
      </c>
      <c r="H152" s="16">
        <f t="shared" si="18"/>
        <v>21.52946662902832</v>
      </c>
      <c r="I152" s="16">
        <v>21.52946662902832</v>
      </c>
      <c r="K152" s="16">
        <f>(I152-J$2)</f>
        <v>3.6172122955322266</v>
      </c>
      <c r="L152" s="18">
        <f t="shared" si="19"/>
        <v>8.149117847738499E-2</v>
      </c>
      <c r="O152"/>
      <c r="P152"/>
      <c r="Q152" s="2"/>
      <c r="S152"/>
      <c r="T152" s="2"/>
      <c r="Z152" s="18"/>
    </row>
    <row r="153" spans="1:26">
      <c r="A153" t="s">
        <v>520</v>
      </c>
      <c r="B153" t="s">
        <v>512</v>
      </c>
      <c r="C153" s="2">
        <v>4.6805324554443359</v>
      </c>
      <c r="E153" t="s">
        <v>514</v>
      </c>
      <c r="F153" s="2">
        <v>26.308000564575195</v>
      </c>
      <c r="H153" s="16">
        <f t="shared" si="18"/>
        <v>21.627468109130859</v>
      </c>
      <c r="I153" s="16">
        <v>21.627468109130859</v>
      </c>
      <c r="K153" s="16">
        <f>(I153-J$2)</f>
        <v>3.7152137756347656</v>
      </c>
      <c r="L153" s="18">
        <f t="shared" si="19"/>
        <v>7.613935846755035E-2</v>
      </c>
      <c r="O153"/>
      <c r="P153"/>
      <c r="Q153" s="2"/>
      <c r="S153"/>
      <c r="T153" s="2"/>
      <c r="Z153" s="18"/>
    </row>
    <row r="154" spans="1:26">
      <c r="A154" t="s">
        <v>521</v>
      </c>
      <c r="B154" t="s">
        <v>512</v>
      </c>
      <c r="C154" s="2">
        <v>4.8045392036437988</v>
      </c>
      <c r="D154" s="19">
        <f>AVERAGE(C154:C157)</f>
        <v>4.8045392036437988</v>
      </c>
      <c r="E154" t="s">
        <v>514</v>
      </c>
      <c r="F154" s="2">
        <v>26.562999725341797</v>
      </c>
      <c r="G154" s="19">
        <f>AVERAGE(F154:F157)</f>
        <v>26.65749979019165</v>
      </c>
      <c r="H154" s="16">
        <f t="shared" si="18"/>
        <v>21.758460521697998</v>
      </c>
      <c r="I154" s="16">
        <v>21.758460521697998</v>
      </c>
      <c r="J154" s="16">
        <f>AVERAGE(I154:I157)</f>
        <v>21.852960586547852</v>
      </c>
      <c r="K154" s="16">
        <f>(I154-J$2)</f>
        <v>3.8462061882019043</v>
      </c>
      <c r="L154" s="18">
        <f t="shared" si="19"/>
        <v>6.9530694585005159E-2</v>
      </c>
      <c r="O154"/>
      <c r="P154"/>
      <c r="Q154" s="2"/>
      <c r="S154"/>
      <c r="T154" s="2"/>
      <c r="Z154" s="18"/>
    </row>
    <row r="155" spans="1:26">
      <c r="A155" t="s">
        <v>521</v>
      </c>
      <c r="B155" t="s">
        <v>512</v>
      </c>
      <c r="C155" s="2">
        <v>4.8045392036437988</v>
      </c>
      <c r="E155" t="s">
        <v>514</v>
      </c>
      <c r="F155" s="2">
        <v>26.704000473022461</v>
      </c>
      <c r="H155" s="16">
        <f t="shared" si="18"/>
        <v>21.899461269378662</v>
      </c>
      <c r="I155" s="16">
        <v>21.899461269378662</v>
      </c>
      <c r="K155" s="16">
        <f>(I155-J$2)</f>
        <v>3.9872069358825684</v>
      </c>
      <c r="L155" s="18">
        <f t="shared" si="19"/>
        <v>6.3056681803838374E-2</v>
      </c>
      <c r="O155"/>
      <c r="P155"/>
      <c r="Q155" s="2"/>
      <c r="R155" s="19"/>
      <c r="S155"/>
      <c r="T155" s="2"/>
      <c r="U155" s="19"/>
      <c r="Z155" s="18"/>
    </row>
    <row r="156" spans="1:26">
      <c r="A156" t="s">
        <v>521</v>
      </c>
      <c r="B156" t="s">
        <v>512</v>
      </c>
      <c r="C156" s="2">
        <v>4.8045392036437988</v>
      </c>
      <c r="E156" t="s">
        <v>514</v>
      </c>
      <c r="F156" s="2">
        <v>26.63599967956543</v>
      </c>
      <c r="H156" s="16">
        <f t="shared" si="18"/>
        <v>21.831460475921631</v>
      </c>
      <c r="I156" s="16">
        <v>21.831460475921631</v>
      </c>
      <c r="K156" s="16">
        <f>(I156-J$2)</f>
        <v>3.9192061424255371</v>
      </c>
      <c r="L156" s="18">
        <f t="shared" si="19"/>
        <v>6.6099989719402757E-2</v>
      </c>
      <c r="O156"/>
      <c r="P156"/>
      <c r="Q156" s="2"/>
      <c r="S156"/>
      <c r="T156" s="2"/>
      <c r="Z156" s="18"/>
    </row>
    <row r="157" spans="1:26">
      <c r="A157" t="s">
        <v>521</v>
      </c>
      <c r="B157" t="s">
        <v>512</v>
      </c>
      <c r="C157" s="2">
        <v>4.8045392036437988</v>
      </c>
      <c r="E157" t="s">
        <v>514</v>
      </c>
      <c r="F157" s="2">
        <v>26.726999282836914</v>
      </c>
      <c r="H157" s="16">
        <f t="shared" si="18"/>
        <v>21.922460079193115</v>
      </c>
      <c r="I157" s="16">
        <v>21.922460079193115</v>
      </c>
      <c r="K157" s="16">
        <f>(I157-J$2)</f>
        <v>4.0102057456970215</v>
      </c>
      <c r="L157" s="18">
        <f t="shared" si="19"/>
        <v>6.2059429911187056E-2</v>
      </c>
      <c r="O157"/>
      <c r="P157"/>
      <c r="Q157" s="2"/>
      <c r="S157"/>
      <c r="T157" s="2"/>
      <c r="Z157" s="18"/>
    </row>
    <row r="158" spans="1:26">
      <c r="A158" t="s">
        <v>522</v>
      </c>
      <c r="B158" t="s">
        <v>512</v>
      </c>
      <c r="C158" s="2">
        <v>4.7002372741699219</v>
      </c>
      <c r="D158" s="19">
        <f>AVERAGE(C158:C161)</f>
        <v>4.7002372741699219</v>
      </c>
      <c r="E158" t="s">
        <v>514</v>
      </c>
      <c r="F158" s="2">
        <v>26.138999938964844</v>
      </c>
      <c r="G158" s="19">
        <f>AVERAGE(F158:F161)</f>
        <v>26.052500247955322</v>
      </c>
      <c r="H158" s="20">
        <f>(F158-C161)</f>
        <v>21.438762664794922</v>
      </c>
      <c r="I158" s="16">
        <v>21.438762664794922</v>
      </c>
      <c r="J158" s="16">
        <f>AVERAGE(I158:I161)</f>
        <v>21.3522629737854</v>
      </c>
      <c r="K158" s="16">
        <f>(I158-J$2)</f>
        <v>3.5265083312988281</v>
      </c>
      <c r="L158" s="18">
        <f t="shared" si="19"/>
        <v>8.6779114115316844E-2</v>
      </c>
      <c r="O158"/>
      <c r="P158"/>
      <c r="Q158" s="2"/>
      <c r="S158"/>
      <c r="T158" s="2"/>
      <c r="Z158" s="18"/>
    </row>
    <row r="159" spans="1:26">
      <c r="A159" t="s">
        <v>522</v>
      </c>
      <c r="B159" t="s">
        <v>512</v>
      </c>
      <c r="C159" s="2">
        <v>4.7002372741699219</v>
      </c>
      <c r="E159" t="s">
        <v>514</v>
      </c>
      <c r="F159" s="2">
        <v>26.197999954223633</v>
      </c>
      <c r="H159" s="16">
        <f t="shared" ref="H159:I169" si="20">(F159-C159)</f>
        <v>21.497762680053711</v>
      </c>
      <c r="I159" s="16">
        <v>21.497762680053711</v>
      </c>
      <c r="K159" s="16">
        <f>(I159-J$2)</f>
        <v>3.5855083465576172</v>
      </c>
      <c r="L159" s="18">
        <f t="shared" si="19"/>
        <v>8.3301810005278393E-2</v>
      </c>
      <c r="O159"/>
      <c r="P159"/>
      <c r="Q159" s="2"/>
      <c r="R159" s="19"/>
      <c r="S159"/>
      <c r="T159" s="2"/>
      <c r="U159" s="19"/>
      <c r="Z159" s="18"/>
    </row>
    <row r="160" spans="1:26">
      <c r="A160" t="s">
        <v>522</v>
      </c>
      <c r="B160" t="s">
        <v>512</v>
      </c>
      <c r="C160" s="2">
        <v>4.7002372741699219</v>
      </c>
      <c r="E160" t="s">
        <v>514</v>
      </c>
      <c r="F160" s="2">
        <v>25.982000350952148</v>
      </c>
      <c r="H160" s="16">
        <f t="shared" si="20"/>
        <v>21.281763076782227</v>
      </c>
      <c r="I160" s="16">
        <v>21.281763076782227</v>
      </c>
      <c r="K160" s="16">
        <f>(I160-J$2)</f>
        <v>3.3695087432861328</v>
      </c>
      <c r="L160" s="18">
        <f t="shared" si="19"/>
        <v>9.6755753099358965E-2</v>
      </c>
      <c r="O160"/>
      <c r="P160"/>
      <c r="Q160" s="2"/>
      <c r="S160"/>
      <c r="T160" s="2"/>
      <c r="Z160" s="18"/>
    </row>
    <row r="161" spans="1:26">
      <c r="A161" t="s">
        <v>522</v>
      </c>
      <c r="B161" t="s">
        <v>512</v>
      </c>
      <c r="C161" s="2">
        <v>4.7002372741699219</v>
      </c>
      <c r="E161" t="s">
        <v>514</v>
      </c>
      <c r="F161" s="2">
        <v>25.891000747680664</v>
      </c>
      <c r="H161" s="16">
        <f t="shared" si="20"/>
        <v>21.190763473510742</v>
      </c>
      <c r="I161" s="16">
        <v>21.190763473510742</v>
      </c>
      <c r="K161" s="16">
        <f>(I161-J$2)</f>
        <v>3.2785091400146484</v>
      </c>
      <c r="L161" s="18">
        <f t="shared" si="19"/>
        <v>0.10305531801232053</v>
      </c>
      <c r="O161"/>
      <c r="P161"/>
      <c r="Q161" s="2"/>
      <c r="S161"/>
      <c r="T161" s="2"/>
      <c r="Z161" s="18"/>
    </row>
    <row r="162" spans="1:26">
      <c r="A162" t="s">
        <v>523</v>
      </c>
      <c r="B162" t="s">
        <v>512</v>
      </c>
      <c r="C162" s="2">
        <v>4.5536785125732422</v>
      </c>
      <c r="D162" s="19">
        <f>AVERAGE(C162:C165)</f>
        <v>4.5536785125732422</v>
      </c>
      <c r="E162" t="s">
        <v>514</v>
      </c>
      <c r="F162" s="2">
        <v>25.728000640869141</v>
      </c>
      <c r="G162" s="19">
        <f>AVERAGE(F162:F165)</f>
        <v>25.816249847412109</v>
      </c>
      <c r="H162" s="16">
        <f t="shared" si="20"/>
        <v>21.174322128295898</v>
      </c>
      <c r="I162" s="16">
        <v>21.174322128295898</v>
      </c>
      <c r="J162" s="16">
        <f>AVERAGE(I162:I165)</f>
        <v>21.262571334838867</v>
      </c>
      <c r="K162" s="16">
        <f>(I162-J$2)</f>
        <v>3.2620677947998047</v>
      </c>
      <c r="L162" s="18">
        <f t="shared" si="19"/>
        <v>0.10423648210578455</v>
      </c>
      <c r="O162"/>
      <c r="P162"/>
      <c r="Q162" s="2"/>
      <c r="S162"/>
      <c r="T162" s="2"/>
      <c r="Z162" s="18"/>
    </row>
    <row r="163" spans="1:26">
      <c r="A163" t="s">
        <v>523</v>
      </c>
      <c r="B163" t="s">
        <v>512</v>
      </c>
      <c r="C163" s="2">
        <v>4.5536785125732422</v>
      </c>
      <c r="E163" t="s">
        <v>514</v>
      </c>
      <c r="F163" s="2">
        <v>25.756000518798828</v>
      </c>
      <c r="H163" s="16">
        <f t="shared" si="20"/>
        <v>21.202322006225586</v>
      </c>
      <c r="I163" s="16">
        <v>21.202322006225586</v>
      </c>
      <c r="K163" s="16">
        <f>(I163-J$2)</f>
        <v>3.2900676727294922</v>
      </c>
      <c r="L163" s="18">
        <f t="shared" si="19"/>
        <v>0.10223296174918767</v>
      </c>
      <c r="O163"/>
      <c r="P163"/>
      <c r="Q163" s="2"/>
      <c r="R163" s="19"/>
      <c r="S163"/>
      <c r="T163" s="2"/>
      <c r="U163" s="19"/>
      <c r="Z163" s="18"/>
    </row>
    <row r="164" spans="1:26">
      <c r="A164" t="s">
        <v>523</v>
      </c>
      <c r="B164" t="s">
        <v>512</v>
      </c>
      <c r="C164" s="2">
        <v>4.5536785125732422</v>
      </c>
      <c r="E164" t="s">
        <v>514</v>
      </c>
      <c r="F164" s="2">
        <v>25.827999114990234</v>
      </c>
      <c r="H164" s="16">
        <f t="shared" si="20"/>
        <v>21.274320602416992</v>
      </c>
      <c r="I164" s="16">
        <v>21.274320602416992</v>
      </c>
      <c r="K164" s="16">
        <f>(I164-J$2)</f>
        <v>3.3620662689208984</v>
      </c>
      <c r="L164" s="18">
        <f t="shared" si="19"/>
        <v>9.7256179590219427E-2</v>
      </c>
      <c r="O164"/>
      <c r="P164"/>
      <c r="Q164" s="2"/>
      <c r="S164"/>
      <c r="T164" s="2"/>
      <c r="Z164" s="18"/>
    </row>
    <row r="165" spans="1:26">
      <c r="A165" t="s">
        <v>523</v>
      </c>
      <c r="B165" t="s">
        <v>512</v>
      </c>
      <c r="C165" s="2">
        <v>4.5536785125732422</v>
      </c>
      <c r="E165" t="s">
        <v>514</v>
      </c>
      <c r="F165" s="2">
        <v>25.952999114990234</v>
      </c>
      <c r="H165" s="16">
        <f t="shared" si="20"/>
        <v>21.399320602416992</v>
      </c>
      <c r="I165" s="16">
        <v>21.399320602416992</v>
      </c>
      <c r="K165" s="16">
        <f>(I165-J$2)</f>
        <v>3.4870662689208984</v>
      </c>
      <c r="L165" s="18">
        <f t="shared" si="19"/>
        <v>8.9184309910870826E-2</v>
      </c>
      <c r="O165"/>
      <c r="P165"/>
      <c r="Q165" s="2"/>
      <c r="S165"/>
      <c r="T165" s="2"/>
      <c r="Z165" s="18"/>
    </row>
    <row r="166" spans="1:26">
      <c r="A166" t="s">
        <v>524</v>
      </c>
      <c r="B166" t="s">
        <v>512</v>
      </c>
      <c r="C166" s="2">
        <v>4.6530952453613281</v>
      </c>
      <c r="D166" s="19">
        <f>AVERAGE(C166:C169)</f>
        <v>4.6530952453613281</v>
      </c>
      <c r="E166" t="s">
        <v>514</v>
      </c>
      <c r="F166" s="2">
        <v>25.62299919128418</v>
      </c>
      <c r="G166" s="19">
        <f>AVERAGE(F166:F169)</f>
        <v>25.557499885559082</v>
      </c>
      <c r="H166" s="16">
        <f t="shared" si="20"/>
        <v>20.969903945922852</v>
      </c>
      <c r="I166" s="16">
        <v>20.969903945922852</v>
      </c>
      <c r="J166" s="16">
        <f>AVERAGE(I166:I169)</f>
        <v>20.904404640197754</v>
      </c>
      <c r="K166" s="16">
        <f>(I166-J$2)</f>
        <v>3.0576496124267578</v>
      </c>
      <c r="L166" s="18">
        <f t="shared" si="19"/>
        <v>0.12010352401417652</v>
      </c>
      <c r="O166"/>
      <c r="P166"/>
      <c r="Q166" s="2"/>
      <c r="S166"/>
      <c r="T166" s="2"/>
      <c r="Z166" s="18"/>
    </row>
    <row r="167" spans="1:26">
      <c r="A167" t="s">
        <v>524</v>
      </c>
      <c r="B167" t="s">
        <v>512</v>
      </c>
      <c r="C167" s="2">
        <v>4.6530952453613281</v>
      </c>
      <c r="E167" t="s">
        <v>514</v>
      </c>
      <c r="F167" s="2">
        <v>25.545000076293945</v>
      </c>
      <c r="H167" s="16">
        <f t="shared" si="20"/>
        <v>20.891904830932617</v>
      </c>
      <c r="I167" s="16">
        <v>20.891904830932617</v>
      </c>
      <c r="K167" s="16">
        <f>(I167-J$2)</f>
        <v>2.9796504974365234</v>
      </c>
      <c r="L167" s="18">
        <f t="shared" si="19"/>
        <v>0.12677564350505369</v>
      </c>
      <c r="O167"/>
      <c r="P167"/>
      <c r="Q167" s="2"/>
      <c r="R167" s="19"/>
      <c r="S167"/>
      <c r="T167" s="2"/>
      <c r="U167" s="19"/>
      <c r="Z167" s="18"/>
    </row>
    <row r="168" spans="1:26">
      <c r="A168" t="s">
        <v>524</v>
      </c>
      <c r="B168" t="s">
        <v>512</v>
      </c>
      <c r="C168" s="2">
        <v>4.6530952453613281</v>
      </c>
      <c r="E168" t="s">
        <v>514</v>
      </c>
      <c r="F168" s="2">
        <v>25.41200065612793</v>
      </c>
      <c r="H168" s="16">
        <f t="shared" si="20"/>
        <v>20.758905410766602</v>
      </c>
      <c r="I168" s="16">
        <v>20.758905410766602</v>
      </c>
      <c r="K168" s="16">
        <f>(I168-J$2)</f>
        <v>2.8466510772705078</v>
      </c>
      <c r="L168" s="18">
        <f t="shared" si="19"/>
        <v>0.13901851291960696</v>
      </c>
      <c r="O168"/>
      <c r="P168"/>
      <c r="Q168" s="2"/>
      <c r="S168"/>
      <c r="T168" s="2"/>
      <c r="Z168" s="18"/>
    </row>
    <row r="169" spans="1:26">
      <c r="A169" t="s">
        <v>524</v>
      </c>
      <c r="B169" t="s">
        <v>512</v>
      </c>
      <c r="C169" s="2">
        <v>4.6530952453613281</v>
      </c>
      <c r="E169" t="s">
        <v>514</v>
      </c>
      <c r="F169" s="2">
        <v>25.649999618530273</v>
      </c>
      <c r="H169" s="16">
        <f t="shared" si="20"/>
        <v>20.996904373168945</v>
      </c>
      <c r="I169" s="16">
        <v>20.996904373168945</v>
      </c>
      <c r="K169" s="16">
        <f>(I169-J$2)</f>
        <v>3.0846500396728516</v>
      </c>
      <c r="L169" s="18">
        <f t="shared" si="19"/>
        <v>0.11787665733593744</v>
      </c>
      <c r="O169"/>
      <c r="P169"/>
      <c r="Q169" s="2"/>
      <c r="S169"/>
      <c r="T169" s="2"/>
      <c r="Z169" s="18"/>
    </row>
    <row r="170" spans="1:26">
      <c r="A170" t="s">
        <v>519</v>
      </c>
      <c r="B170" t="s">
        <v>512</v>
      </c>
      <c r="C170" s="2">
        <v>4.6774954795837402</v>
      </c>
      <c r="D170" s="19">
        <f>AVERAGE(C170:C173)</f>
        <v>4.6774954795837402</v>
      </c>
      <c r="E170" t="s">
        <v>516</v>
      </c>
      <c r="F170" s="2">
        <v>13.447999954223633</v>
      </c>
      <c r="G170" s="19">
        <f>AVERAGE(F170:F173)</f>
        <v>13.508249998092651</v>
      </c>
      <c r="H170" s="16">
        <f t="shared" ref="H170:I181" si="21">(F170-C170)</f>
        <v>8.7705044746398926</v>
      </c>
      <c r="I170" s="16">
        <v>8.7705044746398926</v>
      </c>
      <c r="J170" s="16">
        <f>AVERAGE(I170:I173)</f>
        <v>8.8307545185089111</v>
      </c>
      <c r="K170" s="16">
        <f>(I170-J$2)</f>
        <v>-9.1417498588562012</v>
      </c>
      <c r="L170" s="18">
        <f t="shared" ref="L170:L193" si="22">2^(-K170)</f>
        <v>564.86012834696942</v>
      </c>
      <c r="O170"/>
      <c r="P170"/>
      <c r="Q170" s="2"/>
      <c r="S170"/>
      <c r="T170" s="2"/>
      <c r="Z170" s="18"/>
    </row>
    <row r="171" spans="1:26">
      <c r="A171" t="s">
        <v>519</v>
      </c>
      <c r="B171" t="s">
        <v>512</v>
      </c>
      <c r="C171" s="2">
        <v>4.6774954795837402</v>
      </c>
      <c r="E171" t="s">
        <v>516</v>
      </c>
      <c r="F171" s="2">
        <v>13.576000213623047</v>
      </c>
      <c r="H171" s="16">
        <f t="shared" si="21"/>
        <v>8.8985047340393066</v>
      </c>
      <c r="I171" s="16">
        <v>8.8985047340393066</v>
      </c>
      <c r="K171" s="16">
        <f>(I171-J$2)</f>
        <v>-9.0137495994567871</v>
      </c>
      <c r="L171" s="18">
        <f t="shared" si="22"/>
        <v>516.90294061877034</v>
      </c>
      <c r="O171" s="13"/>
      <c r="P171"/>
      <c r="Q171" s="2"/>
      <c r="R171" s="19"/>
      <c r="S171"/>
      <c r="T171" s="2"/>
      <c r="U171" s="19"/>
      <c r="Z171" s="18"/>
    </row>
    <row r="172" spans="1:26">
      <c r="A172" t="s">
        <v>519</v>
      </c>
      <c r="B172" t="s">
        <v>512</v>
      </c>
      <c r="C172" s="2">
        <v>4.6774954795837402</v>
      </c>
      <c r="E172" t="s">
        <v>516</v>
      </c>
      <c r="F172" s="2">
        <v>13.526000022888184</v>
      </c>
      <c r="H172" s="16">
        <f t="shared" si="21"/>
        <v>8.8485045433044434</v>
      </c>
      <c r="I172" s="16">
        <v>8.8485045433044434</v>
      </c>
      <c r="K172" s="16">
        <f>(I172-J$2)</f>
        <v>-9.0637497901916504</v>
      </c>
      <c r="L172" s="18">
        <f t="shared" si="22"/>
        <v>535.13155420138605</v>
      </c>
      <c r="O172" s="13"/>
      <c r="P172"/>
      <c r="Q172" s="2"/>
      <c r="S172"/>
      <c r="T172" s="2"/>
      <c r="Z172" s="18"/>
    </row>
    <row r="173" spans="1:26">
      <c r="A173" t="s">
        <v>519</v>
      </c>
      <c r="B173" t="s">
        <v>512</v>
      </c>
      <c r="C173" s="2">
        <v>4.6774954795837402</v>
      </c>
      <c r="E173" t="s">
        <v>516</v>
      </c>
      <c r="F173" s="2">
        <v>13.482999801635742</v>
      </c>
      <c r="H173" s="16">
        <f t="shared" si="21"/>
        <v>8.805504322052002</v>
      </c>
      <c r="I173" s="16">
        <v>8.805504322052002</v>
      </c>
      <c r="K173" s="16">
        <f>(I173-J$2)</f>
        <v>-9.1067500114440918</v>
      </c>
      <c r="L173" s="18">
        <f t="shared" si="22"/>
        <v>551.3214839737683</v>
      </c>
      <c r="O173" s="13"/>
      <c r="P173"/>
      <c r="Q173" s="2"/>
      <c r="S173"/>
      <c r="T173" s="2"/>
      <c r="Z173" s="18"/>
    </row>
    <row r="174" spans="1:26">
      <c r="A174" t="s">
        <v>520</v>
      </c>
      <c r="B174" t="s">
        <v>512</v>
      </c>
      <c r="C174" s="2">
        <v>4.6805324554443359</v>
      </c>
      <c r="D174" s="19">
        <f>AVERAGE(C174:C177)</f>
        <v>4.6805324554443359</v>
      </c>
      <c r="E174" t="s">
        <v>516</v>
      </c>
      <c r="F174" s="2">
        <v>13.86400032043457</v>
      </c>
      <c r="G174" s="19">
        <f>AVERAGE(F174:F177)</f>
        <v>13.799999952316284</v>
      </c>
      <c r="H174" s="16">
        <f t="shared" si="21"/>
        <v>9.1834678649902344</v>
      </c>
      <c r="I174" s="16">
        <v>9.1834678649902344</v>
      </c>
      <c r="J174" s="16">
        <f>AVERAGE(I174:I177)</f>
        <v>9.1194674968719482</v>
      </c>
      <c r="K174" s="16">
        <f>(I174-J$2)</f>
        <v>-8.7287864685058594</v>
      </c>
      <c r="L174" s="18">
        <f t="shared" si="22"/>
        <v>424.25459305731113</v>
      </c>
      <c r="O174" s="13"/>
      <c r="P174"/>
      <c r="Q174" s="2"/>
      <c r="S174"/>
      <c r="T174" s="2"/>
      <c r="Z174" s="18"/>
    </row>
    <row r="175" spans="1:26">
      <c r="A175" t="s">
        <v>520</v>
      </c>
      <c r="B175" t="s">
        <v>512</v>
      </c>
      <c r="C175" s="2">
        <v>4.6805324554443359</v>
      </c>
      <c r="E175" t="s">
        <v>516</v>
      </c>
      <c r="F175" s="2">
        <v>13.819000244140625</v>
      </c>
      <c r="H175" s="16">
        <f t="shared" si="21"/>
        <v>9.1384677886962891</v>
      </c>
      <c r="I175" s="16">
        <v>9.1384677886962891</v>
      </c>
      <c r="K175" s="16">
        <f>(I175-J$2)</f>
        <v>-8.7737865447998047</v>
      </c>
      <c r="L175" s="18">
        <f t="shared" si="22"/>
        <v>437.69635054523695</v>
      </c>
      <c r="O175"/>
      <c r="P175"/>
      <c r="Q175" s="2"/>
      <c r="R175" s="19"/>
      <c r="S175"/>
      <c r="T175" s="2"/>
      <c r="U175" s="19"/>
      <c r="Z175" s="18"/>
    </row>
    <row r="176" spans="1:26">
      <c r="A176" t="s">
        <v>520</v>
      </c>
      <c r="B176" t="s">
        <v>512</v>
      </c>
      <c r="C176" s="2">
        <v>4.6805324554443359</v>
      </c>
      <c r="E176" t="s">
        <v>516</v>
      </c>
      <c r="F176" s="2">
        <v>13.762999534606934</v>
      </c>
      <c r="H176" s="16">
        <f t="shared" si="21"/>
        <v>9.0824670791625977</v>
      </c>
      <c r="I176" s="16">
        <v>9.0824670791625977</v>
      </c>
      <c r="K176" s="16">
        <f>(I176-J$2)</f>
        <v>-8.8297872543334961</v>
      </c>
      <c r="L176" s="18">
        <f t="shared" si="22"/>
        <v>455.02034866218253</v>
      </c>
      <c r="O176"/>
      <c r="P176"/>
      <c r="Q176" s="2"/>
      <c r="S176"/>
      <c r="T176" s="2"/>
      <c r="Z176" s="18"/>
    </row>
    <row r="177" spans="1:26">
      <c r="A177" t="s">
        <v>520</v>
      </c>
      <c r="B177" t="s">
        <v>512</v>
      </c>
      <c r="C177" s="2">
        <v>4.6805324554443359</v>
      </c>
      <c r="E177" t="s">
        <v>516</v>
      </c>
      <c r="F177" s="2">
        <v>13.753999710083008</v>
      </c>
      <c r="H177" s="16">
        <f t="shared" si="21"/>
        <v>9.0734672546386719</v>
      </c>
      <c r="I177" s="16">
        <v>9.0734672546386719</v>
      </c>
      <c r="K177" s="16">
        <f>(I177-J$2)</f>
        <v>-8.8387870788574219</v>
      </c>
      <c r="L177" s="18">
        <f t="shared" si="22"/>
        <v>457.86773000121246</v>
      </c>
      <c r="O177"/>
      <c r="P177"/>
      <c r="Q177" s="2"/>
      <c r="S177"/>
      <c r="T177" s="2"/>
      <c r="Z177" s="18"/>
    </row>
    <row r="178" spans="1:26">
      <c r="A178" t="s">
        <v>521</v>
      </c>
      <c r="B178" t="s">
        <v>512</v>
      </c>
      <c r="C178" s="2">
        <v>4.8045392036437988</v>
      </c>
      <c r="D178" s="19">
        <f>AVERAGE(C178:C181)</f>
        <v>4.8045392036437988</v>
      </c>
      <c r="E178" t="s">
        <v>516</v>
      </c>
      <c r="F178" s="2">
        <v>13.333000183105469</v>
      </c>
      <c r="G178" s="19">
        <f>AVERAGE(F178:F181)</f>
        <v>13.284000158309937</v>
      </c>
      <c r="H178" s="16">
        <f t="shared" si="21"/>
        <v>8.5284609794616699</v>
      </c>
      <c r="I178" s="16">
        <v>8.5284609794616699</v>
      </c>
      <c r="J178" s="16">
        <f>AVERAGE(I178:I181)</f>
        <v>8.4794609546661377</v>
      </c>
      <c r="K178" s="16">
        <f>(I178-J$2)</f>
        <v>-9.3837933540344238</v>
      </c>
      <c r="L178" s="18">
        <f t="shared" si="22"/>
        <v>668.0412387628827</v>
      </c>
      <c r="O178"/>
      <c r="P178"/>
      <c r="Q178" s="2"/>
      <c r="S178"/>
      <c r="T178" s="2"/>
      <c r="Z178" s="18"/>
    </row>
    <row r="179" spans="1:26">
      <c r="A179" t="s">
        <v>521</v>
      </c>
      <c r="B179" t="s">
        <v>512</v>
      </c>
      <c r="C179" s="2">
        <v>4.8045392036437988</v>
      </c>
      <c r="E179" t="s">
        <v>516</v>
      </c>
      <c r="F179" s="2">
        <v>13.234999656677246</v>
      </c>
      <c r="H179" s="16">
        <f t="shared" si="21"/>
        <v>8.4304604530334473</v>
      </c>
      <c r="I179" s="16">
        <v>8.4304604530334473</v>
      </c>
      <c r="K179" s="16">
        <f>(I179-J$2)</f>
        <v>-9.4817938804626465</v>
      </c>
      <c r="L179" s="18">
        <f t="shared" si="22"/>
        <v>714.99724882773432</v>
      </c>
      <c r="O179"/>
      <c r="P179"/>
      <c r="Q179" s="2"/>
      <c r="R179" s="19"/>
      <c r="S179"/>
      <c r="T179" s="2"/>
      <c r="U179" s="19"/>
      <c r="Z179" s="18"/>
    </row>
    <row r="180" spans="1:26">
      <c r="A180" t="s">
        <v>521</v>
      </c>
      <c r="B180" t="s">
        <v>512</v>
      </c>
      <c r="C180" s="2">
        <v>4.8045392036437988</v>
      </c>
      <c r="E180" t="s">
        <v>516</v>
      </c>
      <c r="F180" s="2">
        <v>13.350000381469727</v>
      </c>
      <c r="H180" s="16">
        <f t="shared" si="21"/>
        <v>8.5454611778259277</v>
      </c>
      <c r="I180" s="16">
        <v>8.5454611778259277</v>
      </c>
      <c r="K180" s="16">
        <f>(I180-J$2)</f>
        <v>-9.366793155670166</v>
      </c>
      <c r="L180" s="18">
        <f t="shared" si="22"/>
        <v>660.21548010338495</v>
      </c>
      <c r="O180"/>
      <c r="P180"/>
      <c r="Q180" s="2"/>
      <c r="S180"/>
      <c r="T180" s="2"/>
      <c r="Z180" s="18"/>
    </row>
    <row r="181" spans="1:26">
      <c r="A181" t="s">
        <v>521</v>
      </c>
      <c r="B181" t="s">
        <v>512</v>
      </c>
      <c r="C181" s="2">
        <v>4.8045392036437988</v>
      </c>
      <c r="E181" t="s">
        <v>516</v>
      </c>
      <c r="F181" s="2">
        <v>13.218000411987305</v>
      </c>
      <c r="H181" s="16">
        <f t="shared" si="21"/>
        <v>8.4134612083435059</v>
      </c>
      <c r="I181" s="16">
        <v>8.4134612083435059</v>
      </c>
      <c r="K181" s="16">
        <f>(I181-J$2)</f>
        <v>-9.4987931251525879</v>
      </c>
      <c r="L181" s="18">
        <f t="shared" si="22"/>
        <v>723.4718761844747</v>
      </c>
      <c r="O181"/>
      <c r="P181"/>
      <c r="Q181" s="2"/>
      <c r="S181"/>
      <c r="T181" s="2"/>
      <c r="Z181" s="18"/>
    </row>
    <row r="182" spans="1:26">
      <c r="A182" t="s">
        <v>522</v>
      </c>
      <c r="B182" t="s">
        <v>512</v>
      </c>
      <c r="C182" s="2">
        <v>4.7002372741699219</v>
      </c>
      <c r="D182" s="19">
        <f>AVERAGE(C182:C185)</f>
        <v>4.7002372741699219</v>
      </c>
      <c r="E182" t="s">
        <v>516</v>
      </c>
      <c r="F182" s="2">
        <v>13.741000175476074</v>
      </c>
      <c r="G182" s="19">
        <f>AVERAGE(F182:F185)</f>
        <v>13.709250211715698</v>
      </c>
      <c r="H182" s="20">
        <f>(F182-C185)</f>
        <v>9.0407629013061523</v>
      </c>
      <c r="I182" s="16">
        <v>9.0407629013061523</v>
      </c>
      <c r="J182" s="16">
        <f>AVERAGE(I182:I185)</f>
        <v>9.0090129375457764</v>
      </c>
      <c r="K182" s="16">
        <f>(I182-J$2)</f>
        <v>-8.8714914321899414</v>
      </c>
      <c r="L182" s="18">
        <f t="shared" si="22"/>
        <v>468.36564030780505</v>
      </c>
      <c r="O182"/>
      <c r="P182"/>
      <c r="Q182" s="2"/>
      <c r="S182"/>
      <c r="T182" s="2"/>
      <c r="Z182" s="18"/>
    </row>
    <row r="183" spans="1:26">
      <c r="A183" t="s">
        <v>522</v>
      </c>
      <c r="B183" t="s">
        <v>512</v>
      </c>
      <c r="C183" s="2">
        <v>4.7002372741699219</v>
      </c>
      <c r="E183" t="s">
        <v>516</v>
      </c>
      <c r="F183" s="2">
        <v>13.704000473022461</v>
      </c>
      <c r="H183" s="16">
        <f t="shared" ref="H183:I193" si="23">(F183-C183)</f>
        <v>9.0037631988525391</v>
      </c>
      <c r="I183" s="16">
        <v>9.0037631988525391</v>
      </c>
      <c r="K183" s="16">
        <f>(I183-J$2)</f>
        <v>-8.9084911346435547</v>
      </c>
      <c r="L183" s="18">
        <f t="shared" si="22"/>
        <v>480.5328118758942</v>
      </c>
      <c r="O183"/>
      <c r="P183"/>
      <c r="Q183" s="2"/>
      <c r="R183" s="19"/>
      <c r="S183"/>
      <c r="T183" s="2"/>
      <c r="U183" s="19"/>
      <c r="Z183" s="18"/>
    </row>
    <row r="184" spans="1:26">
      <c r="A184" t="s">
        <v>522</v>
      </c>
      <c r="B184" t="s">
        <v>512</v>
      </c>
      <c r="C184" s="2">
        <v>4.7002372741699219</v>
      </c>
      <c r="E184" t="s">
        <v>516</v>
      </c>
      <c r="F184" s="2">
        <v>13.654000282287598</v>
      </c>
      <c r="H184" s="16">
        <f t="shared" si="23"/>
        <v>8.9537630081176758</v>
      </c>
      <c r="I184" s="16">
        <v>8.9537630081176758</v>
      </c>
      <c r="K184" s="16">
        <f>(I184-J$2)</f>
        <v>-8.958491325378418</v>
      </c>
      <c r="L184" s="18">
        <f t="shared" si="22"/>
        <v>497.47883066032546</v>
      </c>
      <c r="O184"/>
      <c r="P184"/>
      <c r="Q184" s="2"/>
      <c r="S184"/>
      <c r="T184" s="2"/>
      <c r="Z184" s="18"/>
    </row>
    <row r="185" spans="1:26">
      <c r="A185" t="s">
        <v>522</v>
      </c>
      <c r="B185" t="s">
        <v>512</v>
      </c>
      <c r="C185" s="2">
        <v>4.7002372741699219</v>
      </c>
      <c r="E185" t="s">
        <v>516</v>
      </c>
      <c r="F185" s="2">
        <v>13.73799991607666</v>
      </c>
      <c r="H185" s="16">
        <f t="shared" si="23"/>
        <v>9.0377626419067383</v>
      </c>
      <c r="I185" s="16">
        <v>9.0377626419067383</v>
      </c>
      <c r="K185" s="16">
        <f>(I185-J$2)</f>
        <v>-8.8744916915893555</v>
      </c>
      <c r="L185" s="18">
        <f t="shared" si="22"/>
        <v>469.34067699216712</v>
      </c>
      <c r="O185"/>
      <c r="P185"/>
      <c r="Q185" s="2"/>
      <c r="S185"/>
      <c r="T185" s="2"/>
      <c r="Z185" s="18"/>
    </row>
    <row r="186" spans="1:26">
      <c r="A186" t="s">
        <v>523</v>
      </c>
      <c r="B186" t="s">
        <v>512</v>
      </c>
      <c r="C186" s="2">
        <v>4.5536785125732422</v>
      </c>
      <c r="D186" s="19">
        <f>AVERAGE(C186:C189)</f>
        <v>4.5536785125732422</v>
      </c>
      <c r="E186" t="s">
        <v>516</v>
      </c>
      <c r="F186" s="2">
        <v>13.692000389099121</v>
      </c>
      <c r="G186" s="19">
        <f>AVERAGE(F186:F189)</f>
        <v>13.656000137329102</v>
      </c>
      <c r="H186" s="16">
        <f t="shared" si="23"/>
        <v>9.1383218765258789</v>
      </c>
      <c r="I186" s="16">
        <v>9.1383218765258789</v>
      </c>
      <c r="J186" s="16">
        <f>AVERAGE(I186:I189)</f>
        <v>9.1023216247558594</v>
      </c>
      <c r="K186" s="16">
        <f>(I186-J$2)</f>
        <v>-8.7739324569702148</v>
      </c>
      <c r="L186" s="18">
        <f t="shared" si="22"/>
        <v>437.74062078420451</v>
      </c>
      <c r="O186"/>
      <c r="P186"/>
      <c r="Q186" s="2"/>
      <c r="S186"/>
      <c r="T186" s="2"/>
      <c r="Z186" s="18"/>
    </row>
    <row r="187" spans="1:26">
      <c r="A187" t="s">
        <v>523</v>
      </c>
      <c r="B187" t="s">
        <v>512</v>
      </c>
      <c r="C187" s="2">
        <v>4.5536785125732422</v>
      </c>
      <c r="E187" t="s">
        <v>516</v>
      </c>
      <c r="F187" s="2">
        <v>13.592000007629395</v>
      </c>
      <c r="H187" s="16">
        <f t="shared" si="23"/>
        <v>9.0383214950561523</v>
      </c>
      <c r="I187" s="16">
        <v>9.0383214950561523</v>
      </c>
      <c r="K187" s="16">
        <f>(I187-J$2)</f>
        <v>-8.8739328384399414</v>
      </c>
      <c r="L187" s="18">
        <f t="shared" si="22"/>
        <v>469.1589048831521</v>
      </c>
      <c r="O187"/>
      <c r="P187"/>
      <c r="Q187" s="2"/>
      <c r="R187" s="19"/>
      <c r="S187"/>
      <c r="T187" s="2"/>
      <c r="U187" s="19"/>
      <c r="Z187" s="18"/>
    </row>
    <row r="188" spans="1:26">
      <c r="A188" t="s">
        <v>523</v>
      </c>
      <c r="B188" t="s">
        <v>512</v>
      </c>
      <c r="C188" s="2">
        <v>4.5536785125732422</v>
      </c>
      <c r="E188" t="s">
        <v>516</v>
      </c>
      <c r="F188" s="2">
        <v>13.692000389099121</v>
      </c>
      <c r="H188" s="16">
        <f t="shared" si="23"/>
        <v>9.1383218765258789</v>
      </c>
      <c r="I188" s="16">
        <v>9.1383218765258789</v>
      </c>
      <c r="K188" s="16">
        <f>(I188-J$2)</f>
        <v>-8.7739324569702148</v>
      </c>
      <c r="L188" s="18">
        <f t="shared" si="22"/>
        <v>437.74062078420451</v>
      </c>
      <c r="O188"/>
      <c r="P188"/>
      <c r="Q188" s="2"/>
      <c r="S188"/>
      <c r="T188" s="2"/>
      <c r="Z188" s="18"/>
    </row>
    <row r="189" spans="1:26">
      <c r="A189" t="s">
        <v>523</v>
      </c>
      <c r="B189" t="s">
        <v>512</v>
      </c>
      <c r="C189" s="2">
        <v>4.5536785125732422</v>
      </c>
      <c r="E189" t="s">
        <v>516</v>
      </c>
      <c r="F189" s="2">
        <v>13.64799976348877</v>
      </c>
      <c r="H189" s="16">
        <f t="shared" si="23"/>
        <v>9.0943212509155273</v>
      </c>
      <c r="I189" s="16">
        <v>9.0943212509155273</v>
      </c>
      <c r="K189" s="16">
        <f>(I189-J$2)</f>
        <v>-8.8179330825805664</v>
      </c>
      <c r="L189" s="18">
        <f t="shared" si="22"/>
        <v>451.29690757845026</v>
      </c>
      <c r="O189"/>
      <c r="P189"/>
      <c r="Q189" s="2"/>
      <c r="S189"/>
      <c r="T189" s="2"/>
      <c r="Z189" s="18"/>
    </row>
    <row r="190" spans="1:26">
      <c r="A190" t="s">
        <v>524</v>
      </c>
      <c r="B190" t="s">
        <v>512</v>
      </c>
      <c r="C190" s="2">
        <v>4.6530952453613281</v>
      </c>
      <c r="D190" s="19">
        <f>AVERAGE(C190:C193)</f>
        <v>4.6530952453613281</v>
      </c>
      <c r="E190" t="s">
        <v>516</v>
      </c>
      <c r="F190" s="2">
        <v>13.550999641418457</v>
      </c>
      <c r="G190" s="19">
        <f>AVERAGE(F190:F193)</f>
        <v>13.564499855041504</v>
      </c>
      <c r="H190" s="16">
        <f t="shared" si="23"/>
        <v>8.8979043960571289</v>
      </c>
      <c r="I190" s="16">
        <v>8.8979043960571289</v>
      </c>
      <c r="J190" s="16">
        <f>AVERAGE(I190:I193)</f>
        <v>8.9114046096801758</v>
      </c>
      <c r="K190" s="16">
        <f>(I190-J$2)</f>
        <v>-9.0143499374389648</v>
      </c>
      <c r="L190" s="18">
        <f t="shared" si="22"/>
        <v>517.1180803630383</v>
      </c>
      <c r="O190"/>
      <c r="P190"/>
      <c r="Q190" s="2"/>
      <c r="S190"/>
      <c r="T190" s="2"/>
      <c r="Z190" s="18"/>
    </row>
    <row r="191" spans="1:26">
      <c r="A191" t="s">
        <v>524</v>
      </c>
      <c r="B191" t="s">
        <v>512</v>
      </c>
      <c r="C191" s="2">
        <v>4.6530952453613281</v>
      </c>
      <c r="E191" t="s">
        <v>516</v>
      </c>
      <c r="F191" s="2">
        <v>13.569999694824219</v>
      </c>
      <c r="H191" s="16">
        <f t="shared" si="23"/>
        <v>8.9169044494628906</v>
      </c>
      <c r="I191" s="16">
        <v>8.9169044494628906</v>
      </c>
      <c r="K191" s="16">
        <f>(I191-J$2)</f>
        <v>-8.9953498840332031</v>
      </c>
      <c r="L191" s="18">
        <f t="shared" si="22"/>
        <v>510.35237079475559</v>
      </c>
      <c r="O191"/>
      <c r="P191"/>
      <c r="Q191" s="2"/>
      <c r="R191" s="19"/>
      <c r="S191"/>
      <c r="T191" s="2"/>
      <c r="U191" s="19"/>
      <c r="Z191" s="18"/>
    </row>
    <row r="192" spans="1:26">
      <c r="A192" t="s">
        <v>524</v>
      </c>
      <c r="B192" t="s">
        <v>512</v>
      </c>
      <c r="C192" s="2">
        <v>4.6530952453613281</v>
      </c>
      <c r="E192" t="s">
        <v>516</v>
      </c>
      <c r="F192" s="2">
        <v>13.520000457763672</v>
      </c>
      <c r="H192" s="16">
        <f t="shared" si="23"/>
        <v>8.8669052124023438</v>
      </c>
      <c r="I192" s="16">
        <v>8.8669052124023438</v>
      </c>
      <c r="K192" s="16">
        <f>(I192-J$2)</f>
        <v>-9.04534912109375</v>
      </c>
      <c r="L192" s="18">
        <f t="shared" si="22"/>
        <v>528.34962887624442</v>
      </c>
      <c r="O192"/>
      <c r="P192"/>
      <c r="Q192" s="2"/>
      <c r="S192"/>
      <c r="T192" s="2"/>
      <c r="Z192" s="18"/>
    </row>
    <row r="193" spans="1:26">
      <c r="A193" t="s">
        <v>524</v>
      </c>
      <c r="B193" t="s">
        <v>512</v>
      </c>
      <c r="C193" s="2">
        <v>4.6530952453613281</v>
      </c>
      <c r="E193" t="s">
        <v>516</v>
      </c>
      <c r="F193" s="2">
        <v>13.616999626159668</v>
      </c>
      <c r="H193" s="16">
        <f t="shared" si="23"/>
        <v>8.9639043807983398</v>
      </c>
      <c r="I193" s="16">
        <v>8.9639043807983398</v>
      </c>
      <c r="K193" s="16">
        <f>(I193-J$2)</f>
        <v>-8.9483499526977539</v>
      </c>
      <c r="L193" s="18">
        <f t="shared" si="22"/>
        <v>493.9940834904238</v>
      </c>
      <c r="O193"/>
      <c r="P193"/>
      <c r="Q193" s="2"/>
      <c r="S193"/>
      <c r="T193" s="2"/>
      <c r="Z193" s="18"/>
    </row>
    <row r="194" spans="1:26">
      <c r="A194" t="s">
        <v>519</v>
      </c>
      <c r="B194" t="s">
        <v>512</v>
      </c>
      <c r="C194" s="2">
        <v>4.6774954795837402</v>
      </c>
      <c r="D194" s="19">
        <f>AVERAGE(C194:C197)</f>
        <v>4.6774954795837402</v>
      </c>
      <c r="E194" t="s">
        <v>503</v>
      </c>
      <c r="F194" s="2">
        <v>16.804000854492188</v>
      </c>
      <c r="G194" s="19">
        <f>AVERAGE(F194:F197)</f>
        <v>16.781000137329102</v>
      </c>
      <c r="H194" s="16">
        <f t="shared" ref="H194:I205" si="24">(F194-C194)</f>
        <v>12.126505374908447</v>
      </c>
      <c r="I194" s="16">
        <v>12.126505374908447</v>
      </c>
      <c r="J194" s="16">
        <f>AVERAGE(I194:I197)</f>
        <v>12.103504657745361</v>
      </c>
      <c r="K194" s="16">
        <f>(I194-J$2)</f>
        <v>-5.7857489585876465</v>
      </c>
      <c r="L194" s="18">
        <f t="shared" ref="L194:L217" si="25">2^(-K194)</f>
        <v>55.167586408788765</v>
      </c>
      <c r="O194"/>
      <c r="P194"/>
      <c r="Q194" s="2"/>
      <c r="S194"/>
      <c r="T194" s="2"/>
      <c r="Z194" s="18"/>
    </row>
    <row r="195" spans="1:26">
      <c r="A195" t="s">
        <v>519</v>
      </c>
      <c r="B195" t="s">
        <v>512</v>
      </c>
      <c r="C195" s="2">
        <v>4.6774954795837402</v>
      </c>
      <c r="E195" t="s">
        <v>503</v>
      </c>
      <c r="F195" s="2">
        <v>16.745000839233398</v>
      </c>
      <c r="H195" s="16">
        <f t="shared" si="24"/>
        <v>12.067505359649658</v>
      </c>
      <c r="I195" s="16">
        <v>12.067505359649658</v>
      </c>
      <c r="K195" s="16">
        <f>(I195-J$2)</f>
        <v>-5.8447489738464355</v>
      </c>
      <c r="L195" s="18">
        <f t="shared" si="25"/>
        <v>57.47047124344035</v>
      </c>
      <c r="O195" s="13"/>
      <c r="P195"/>
      <c r="Q195" s="2"/>
      <c r="R195" s="19"/>
      <c r="S195"/>
      <c r="T195" s="2"/>
      <c r="U195" s="19"/>
      <c r="Z195" s="18"/>
    </row>
    <row r="196" spans="1:26">
      <c r="A196" t="s">
        <v>519</v>
      </c>
      <c r="B196" t="s">
        <v>512</v>
      </c>
      <c r="C196" s="2">
        <v>4.6774954795837402</v>
      </c>
      <c r="E196" t="s">
        <v>503</v>
      </c>
      <c r="F196" s="2">
        <v>16.753999710083008</v>
      </c>
      <c r="H196" s="16">
        <f t="shared" si="24"/>
        <v>12.076504230499268</v>
      </c>
      <c r="I196" s="16">
        <v>12.076504230499268</v>
      </c>
      <c r="K196" s="16">
        <f>(I196-J$2)</f>
        <v>-5.8357501029968262</v>
      </c>
      <c r="L196" s="18">
        <f t="shared" si="25"/>
        <v>57.113112446622907</v>
      </c>
      <c r="O196" s="13"/>
      <c r="P196"/>
      <c r="Q196" s="2"/>
      <c r="S196"/>
      <c r="T196" s="2"/>
      <c r="Z196" s="18"/>
    </row>
    <row r="197" spans="1:26">
      <c r="A197" t="s">
        <v>519</v>
      </c>
      <c r="B197" t="s">
        <v>512</v>
      </c>
      <c r="C197" s="2">
        <v>4.6774954795837402</v>
      </c>
      <c r="E197" t="s">
        <v>503</v>
      </c>
      <c r="F197" s="2">
        <v>16.820999145507812</v>
      </c>
      <c r="H197" s="16">
        <f t="shared" si="24"/>
        <v>12.143503665924072</v>
      </c>
      <c r="I197" s="16">
        <v>12.143503665924072</v>
      </c>
      <c r="K197" s="16">
        <f>(I197-J$2)</f>
        <v>-5.7687506675720215</v>
      </c>
      <c r="L197" s="18">
        <f t="shared" si="25"/>
        <v>54.521398660527602</v>
      </c>
      <c r="O197" s="13"/>
      <c r="P197"/>
      <c r="Q197" s="2"/>
      <c r="S197"/>
      <c r="T197" s="2"/>
      <c r="Z197" s="18"/>
    </row>
    <row r="198" spans="1:26">
      <c r="A198" t="s">
        <v>520</v>
      </c>
      <c r="B198" t="s">
        <v>512</v>
      </c>
      <c r="C198" s="2">
        <v>4.6805324554443359</v>
      </c>
      <c r="D198" s="19">
        <f>AVERAGE(C198:C201)</f>
        <v>4.6805324554443359</v>
      </c>
      <c r="E198" t="s">
        <v>503</v>
      </c>
      <c r="F198" s="2">
        <v>16.23699951171875</v>
      </c>
      <c r="G198" s="19">
        <f>AVERAGE(F198:F201)</f>
        <v>16.206249713897705</v>
      </c>
      <c r="H198" s="16">
        <f t="shared" si="24"/>
        <v>11.556467056274414</v>
      </c>
      <c r="I198" s="16">
        <v>11.556467056274414</v>
      </c>
      <c r="J198" s="16">
        <f>AVERAGE(I198:I201)</f>
        <v>11.525717258453369</v>
      </c>
      <c r="K198" s="16">
        <f>(I198-J$2)</f>
        <v>-6.3557872772216797</v>
      </c>
      <c r="L198" s="18">
        <f t="shared" si="25"/>
        <v>81.899757624348339</v>
      </c>
      <c r="O198" s="13"/>
      <c r="P198"/>
      <c r="Q198" s="2"/>
      <c r="S198"/>
      <c r="T198" s="2"/>
      <c r="Z198" s="18"/>
    </row>
    <row r="199" spans="1:26">
      <c r="A199" t="s">
        <v>520</v>
      </c>
      <c r="B199" t="s">
        <v>512</v>
      </c>
      <c r="C199" s="2">
        <v>4.6805324554443359</v>
      </c>
      <c r="E199" t="s">
        <v>503</v>
      </c>
      <c r="F199" s="2">
        <v>16.132999420166016</v>
      </c>
      <c r="H199" s="16">
        <f t="shared" si="24"/>
        <v>11.45246696472168</v>
      </c>
      <c r="I199" s="16">
        <v>11.45246696472168</v>
      </c>
      <c r="K199" s="16">
        <f>(I199-J$2)</f>
        <v>-6.4597873687744141</v>
      </c>
      <c r="L199" s="18">
        <f t="shared" si="25"/>
        <v>88.021702349649189</v>
      </c>
      <c r="O199"/>
      <c r="P199"/>
      <c r="Q199" s="2"/>
      <c r="R199" s="19"/>
      <c r="S199"/>
      <c r="T199" s="2"/>
      <c r="U199" s="19"/>
      <c r="Z199" s="18"/>
    </row>
    <row r="200" spans="1:26">
      <c r="A200" t="s">
        <v>520</v>
      </c>
      <c r="B200" t="s">
        <v>512</v>
      </c>
      <c r="C200" s="2">
        <v>4.6805324554443359</v>
      </c>
      <c r="E200" t="s">
        <v>503</v>
      </c>
      <c r="F200" s="2">
        <v>16.235000610351562</v>
      </c>
      <c r="H200" s="16">
        <f t="shared" si="24"/>
        <v>11.554468154907227</v>
      </c>
      <c r="I200" s="16">
        <v>11.554468154907227</v>
      </c>
      <c r="K200" s="16">
        <f>(I200-J$2)</f>
        <v>-6.3577861785888672</v>
      </c>
      <c r="L200" s="18">
        <f t="shared" si="25"/>
        <v>82.013311076541925</v>
      </c>
      <c r="O200"/>
      <c r="P200"/>
      <c r="Q200" s="2"/>
      <c r="S200"/>
      <c r="T200" s="2"/>
      <c r="Z200" s="18"/>
    </row>
    <row r="201" spans="1:26">
      <c r="A201" t="s">
        <v>520</v>
      </c>
      <c r="B201" t="s">
        <v>512</v>
      </c>
      <c r="C201" s="2">
        <v>4.6805324554443359</v>
      </c>
      <c r="E201" t="s">
        <v>503</v>
      </c>
      <c r="F201" s="2">
        <v>16.219999313354492</v>
      </c>
      <c r="H201" s="16">
        <f t="shared" si="24"/>
        <v>11.539466857910156</v>
      </c>
      <c r="I201" s="16">
        <v>11.539466857910156</v>
      </c>
      <c r="K201" s="16">
        <f>(I201-J$2)</f>
        <v>-6.3727874755859375</v>
      </c>
      <c r="L201" s="18">
        <f t="shared" si="25"/>
        <v>82.870543309862938</v>
      </c>
      <c r="O201"/>
      <c r="P201"/>
      <c r="Q201" s="2"/>
      <c r="S201"/>
      <c r="T201" s="2"/>
      <c r="Z201" s="18"/>
    </row>
    <row r="202" spans="1:26">
      <c r="A202" t="s">
        <v>521</v>
      </c>
      <c r="B202" t="s">
        <v>512</v>
      </c>
      <c r="C202" s="2">
        <v>4.8045392036437988</v>
      </c>
      <c r="D202" s="19">
        <f>AVERAGE(C202:C205)</f>
        <v>4.8045392036437988</v>
      </c>
      <c r="E202" t="s">
        <v>503</v>
      </c>
      <c r="F202" s="2">
        <v>16.003999710083008</v>
      </c>
      <c r="G202" s="19">
        <f>AVERAGE(F202:F205)</f>
        <v>15.986000299453735</v>
      </c>
      <c r="H202" s="16">
        <f t="shared" si="24"/>
        <v>11.199460506439209</v>
      </c>
      <c r="I202" s="16">
        <v>11.199460506439209</v>
      </c>
      <c r="J202" s="16">
        <f>AVERAGE(I202:I205)</f>
        <v>11.181461095809937</v>
      </c>
      <c r="K202" s="16">
        <f>(I202-J$2)</f>
        <v>-6.7127938270568848</v>
      </c>
      <c r="L202" s="18">
        <f t="shared" si="25"/>
        <v>104.89439843736965</v>
      </c>
      <c r="O202"/>
      <c r="P202"/>
      <c r="Q202" s="2"/>
      <c r="S202"/>
      <c r="T202" s="2"/>
      <c r="Z202" s="18"/>
    </row>
    <row r="203" spans="1:26">
      <c r="A203" t="s">
        <v>521</v>
      </c>
      <c r="B203" t="s">
        <v>512</v>
      </c>
      <c r="C203" s="2">
        <v>4.8045392036437988</v>
      </c>
      <c r="E203" t="s">
        <v>503</v>
      </c>
      <c r="F203" s="2">
        <v>15.954000473022461</v>
      </c>
      <c r="H203" s="16">
        <f t="shared" si="24"/>
        <v>11.149461269378662</v>
      </c>
      <c r="I203" s="16">
        <v>11.149461269378662</v>
      </c>
      <c r="K203" s="16">
        <f>(I203-J$2)</f>
        <v>-6.7627930641174316</v>
      </c>
      <c r="L203" s="18">
        <f t="shared" si="25"/>
        <v>108.59343398224246</v>
      </c>
      <c r="O203"/>
      <c r="P203"/>
      <c r="Q203" s="2"/>
      <c r="R203" s="19"/>
      <c r="S203"/>
      <c r="T203" s="2"/>
      <c r="U203" s="19"/>
      <c r="Z203" s="18"/>
    </row>
    <row r="204" spans="1:26">
      <c r="A204" t="s">
        <v>521</v>
      </c>
      <c r="B204" t="s">
        <v>512</v>
      </c>
      <c r="C204" s="2">
        <v>4.8045392036437988</v>
      </c>
      <c r="E204" t="s">
        <v>503</v>
      </c>
      <c r="F204" s="2">
        <v>16.075000762939453</v>
      </c>
      <c r="H204" s="16">
        <f t="shared" si="24"/>
        <v>11.270461559295654</v>
      </c>
      <c r="I204" s="16">
        <v>11.270461559295654</v>
      </c>
      <c r="K204" s="16">
        <f>(I204-J$2)</f>
        <v>-6.6417927742004395</v>
      </c>
      <c r="L204" s="18">
        <f t="shared" si="25"/>
        <v>99.857077163342566</v>
      </c>
      <c r="O204"/>
      <c r="P204"/>
      <c r="Q204" s="2"/>
      <c r="S204"/>
      <c r="T204" s="2"/>
      <c r="Z204" s="18"/>
    </row>
    <row r="205" spans="1:26">
      <c r="A205" t="s">
        <v>521</v>
      </c>
      <c r="B205" t="s">
        <v>512</v>
      </c>
      <c r="C205" s="2">
        <v>4.8045392036437988</v>
      </c>
      <c r="E205" t="s">
        <v>503</v>
      </c>
      <c r="F205" s="2">
        <v>15.91100025177002</v>
      </c>
      <c r="H205" s="16">
        <f t="shared" si="24"/>
        <v>11.106461048126221</v>
      </c>
      <c r="I205" s="16">
        <v>11.106461048126221</v>
      </c>
      <c r="K205" s="16">
        <f>(I205-J$2)</f>
        <v>-6.805793285369873</v>
      </c>
      <c r="L205" s="18">
        <f t="shared" si="25"/>
        <v>111.87883185517877</v>
      </c>
      <c r="O205"/>
      <c r="P205"/>
      <c r="Q205" s="2"/>
      <c r="S205"/>
      <c r="T205" s="2"/>
      <c r="Z205" s="18"/>
    </row>
    <row r="206" spans="1:26">
      <c r="A206" t="s">
        <v>522</v>
      </c>
      <c r="B206" t="s">
        <v>512</v>
      </c>
      <c r="C206" s="2">
        <v>4.7002372741699219</v>
      </c>
      <c r="D206" s="19">
        <f>AVERAGE(C206:C209)</f>
        <v>4.7002372741699219</v>
      </c>
      <c r="E206" t="s">
        <v>503</v>
      </c>
      <c r="F206" s="2">
        <v>18.974000930786133</v>
      </c>
      <c r="G206" s="19">
        <f>AVERAGE(F206:F209)</f>
        <v>18.983750343322754</v>
      </c>
      <c r="H206" s="20">
        <f>(F206-C209)</f>
        <v>14.273763656616211</v>
      </c>
      <c r="I206" s="16">
        <v>14.273763656616211</v>
      </c>
      <c r="J206" s="16">
        <f>AVERAGE(I206:I209)</f>
        <v>14.283513069152832</v>
      </c>
      <c r="K206" s="16">
        <f>(I206-J$2)</f>
        <v>-3.6384906768798828</v>
      </c>
      <c r="L206" s="18">
        <f t="shared" si="25"/>
        <v>12.453597713935636</v>
      </c>
      <c r="O206"/>
      <c r="P206"/>
      <c r="Q206" s="2"/>
      <c r="S206"/>
      <c r="T206" s="2"/>
      <c r="Z206" s="18"/>
    </row>
    <row r="207" spans="1:26">
      <c r="A207" t="s">
        <v>522</v>
      </c>
      <c r="B207" t="s">
        <v>512</v>
      </c>
      <c r="C207" s="2">
        <v>4.7002372741699219</v>
      </c>
      <c r="E207" t="s">
        <v>503</v>
      </c>
      <c r="F207" s="2">
        <v>18.993999481201172</v>
      </c>
      <c r="H207" s="16">
        <f t="shared" ref="H207:I217" si="26">(F207-C207)</f>
        <v>14.29376220703125</v>
      </c>
      <c r="I207" s="16">
        <v>14.29376220703125</v>
      </c>
      <c r="K207" s="16">
        <f>(I207-J$2)</f>
        <v>-3.6184921264648438</v>
      </c>
      <c r="L207" s="18">
        <f t="shared" si="25"/>
        <v>12.282157694894806</v>
      </c>
      <c r="O207"/>
      <c r="P207"/>
      <c r="Q207" s="2"/>
      <c r="R207" s="19"/>
      <c r="S207"/>
      <c r="T207" s="2"/>
      <c r="U207" s="19"/>
      <c r="Z207" s="18"/>
    </row>
    <row r="208" spans="1:26">
      <c r="A208" t="s">
        <v>522</v>
      </c>
      <c r="B208" t="s">
        <v>512</v>
      </c>
      <c r="C208" s="2">
        <v>4.7002372741699219</v>
      </c>
      <c r="E208" t="s">
        <v>503</v>
      </c>
      <c r="F208" s="2">
        <v>19.003000259399414</v>
      </c>
      <c r="H208" s="16">
        <f t="shared" si="26"/>
        <v>14.302762985229492</v>
      </c>
      <c r="I208" s="16">
        <v>14.302762985229492</v>
      </c>
      <c r="K208" s="16">
        <f>(I208-J$2)</f>
        <v>-3.6094913482666016</v>
      </c>
      <c r="L208" s="18">
        <f t="shared" si="25"/>
        <v>12.205769518526512</v>
      </c>
      <c r="O208"/>
      <c r="P208"/>
      <c r="Q208" s="2"/>
      <c r="S208"/>
      <c r="T208" s="2"/>
      <c r="Z208" s="18"/>
    </row>
    <row r="209" spans="1:26">
      <c r="A209" t="s">
        <v>522</v>
      </c>
      <c r="B209" t="s">
        <v>512</v>
      </c>
      <c r="C209" s="2">
        <v>4.7002372741699219</v>
      </c>
      <c r="E209" t="s">
        <v>503</v>
      </c>
      <c r="F209" s="2">
        <v>18.964000701904297</v>
      </c>
      <c r="H209" s="16">
        <f t="shared" si="26"/>
        <v>14.263763427734375</v>
      </c>
      <c r="I209" s="16">
        <v>14.263763427734375</v>
      </c>
      <c r="K209" s="16">
        <f>(I209-J$2)</f>
        <v>-3.6484909057617188</v>
      </c>
      <c r="L209" s="18">
        <f t="shared" si="25"/>
        <v>12.540221325712052</v>
      </c>
      <c r="O209"/>
      <c r="P209"/>
      <c r="Q209" s="2"/>
      <c r="S209"/>
      <c r="T209" s="2"/>
      <c r="Z209" s="18"/>
    </row>
    <row r="210" spans="1:26">
      <c r="A210" t="s">
        <v>523</v>
      </c>
      <c r="B210" t="s">
        <v>512</v>
      </c>
      <c r="C210" s="2">
        <v>4.5536785125732422</v>
      </c>
      <c r="D210" s="19">
        <f>AVERAGE(C210:C213)</f>
        <v>4.5536785125732422</v>
      </c>
      <c r="E210" t="s">
        <v>503</v>
      </c>
      <c r="F210" s="2">
        <v>19.013999938964844</v>
      </c>
      <c r="G210" s="19">
        <f>AVERAGE(F210:F213)</f>
        <v>19.018249988555908</v>
      </c>
      <c r="H210" s="16">
        <f t="shared" si="26"/>
        <v>14.460321426391602</v>
      </c>
      <c r="I210" s="16">
        <v>14.460321426391602</v>
      </c>
      <c r="J210" s="16">
        <f>AVERAGE(I210:I213)</f>
        <v>14.464571475982666</v>
      </c>
      <c r="K210" s="16">
        <f>(I210-J$2)</f>
        <v>-3.4519329071044922</v>
      </c>
      <c r="L210" s="18">
        <f t="shared" si="25"/>
        <v>10.942973513652504</v>
      </c>
      <c r="O210"/>
      <c r="P210"/>
      <c r="Q210" s="2"/>
      <c r="S210"/>
      <c r="T210" s="2"/>
      <c r="Z210" s="18"/>
    </row>
    <row r="211" spans="1:26">
      <c r="A211" t="s">
        <v>523</v>
      </c>
      <c r="B211" t="s">
        <v>512</v>
      </c>
      <c r="C211" s="2">
        <v>4.5536785125732422</v>
      </c>
      <c r="E211" t="s">
        <v>503</v>
      </c>
      <c r="F211" s="2">
        <v>18.975000381469727</v>
      </c>
      <c r="H211" s="16">
        <f t="shared" si="26"/>
        <v>14.421321868896484</v>
      </c>
      <c r="I211" s="16">
        <v>14.421321868896484</v>
      </c>
      <c r="K211" s="16">
        <f>(I211-J$2)</f>
        <v>-3.4909324645996094</v>
      </c>
      <c r="L211" s="18">
        <f t="shared" si="25"/>
        <v>11.242823290601796</v>
      </c>
      <c r="O211"/>
      <c r="P211"/>
      <c r="Q211" s="2"/>
      <c r="R211" s="19"/>
      <c r="S211"/>
      <c r="T211" s="2"/>
      <c r="U211" s="19"/>
      <c r="Z211" s="18"/>
    </row>
    <row r="212" spans="1:26">
      <c r="A212" t="s">
        <v>523</v>
      </c>
      <c r="B212" t="s">
        <v>512</v>
      </c>
      <c r="C212" s="2">
        <v>4.5536785125732422</v>
      </c>
      <c r="E212" t="s">
        <v>503</v>
      </c>
      <c r="F212" s="2">
        <v>19.093000411987305</v>
      </c>
      <c r="H212" s="16">
        <f t="shared" si="26"/>
        <v>14.539321899414062</v>
      </c>
      <c r="I212" s="16">
        <v>14.539321899414062</v>
      </c>
      <c r="K212" s="16">
        <f>(I212-J$2)</f>
        <v>-3.3729324340820312</v>
      </c>
      <c r="L212" s="18">
        <f t="shared" si="25"/>
        <v>10.359858794906327</v>
      </c>
      <c r="O212"/>
      <c r="P212"/>
      <c r="Q212" s="2"/>
      <c r="S212"/>
      <c r="T212" s="2"/>
      <c r="Z212" s="18"/>
    </row>
    <row r="213" spans="1:26">
      <c r="A213" t="s">
        <v>523</v>
      </c>
      <c r="B213" t="s">
        <v>512</v>
      </c>
      <c r="C213" s="2">
        <v>4.5536785125732422</v>
      </c>
      <c r="E213" t="s">
        <v>503</v>
      </c>
      <c r="F213" s="2">
        <v>18.990999221801758</v>
      </c>
      <c r="H213" s="16">
        <f t="shared" si="26"/>
        <v>14.437320709228516</v>
      </c>
      <c r="I213" s="16">
        <v>14.437320709228516</v>
      </c>
      <c r="K213" s="16">
        <f>(I213-J$2)</f>
        <v>-3.4749336242675781</v>
      </c>
      <c r="L213" s="18">
        <f t="shared" si="25"/>
        <v>11.118834189959523</v>
      </c>
      <c r="O213"/>
      <c r="P213"/>
      <c r="Q213" s="2"/>
      <c r="S213"/>
      <c r="T213" s="2"/>
      <c r="Z213" s="18"/>
    </row>
    <row r="214" spans="1:26">
      <c r="A214" t="s">
        <v>524</v>
      </c>
      <c r="B214" t="s">
        <v>512</v>
      </c>
      <c r="C214" s="2">
        <v>4.6530952453613281</v>
      </c>
      <c r="D214" s="19">
        <f>AVERAGE(C214:C217)</f>
        <v>4.6530952453613281</v>
      </c>
      <c r="E214" t="s">
        <v>503</v>
      </c>
      <c r="F214" s="2">
        <v>19.268999099731445</v>
      </c>
      <c r="G214" s="19">
        <f>AVERAGE(F214:F217)</f>
        <v>19.292999744415283</v>
      </c>
      <c r="H214" s="16">
        <f t="shared" si="26"/>
        <v>14.615903854370117</v>
      </c>
      <c r="I214" s="16">
        <v>14.615903854370117</v>
      </c>
      <c r="J214" s="16">
        <f>AVERAGE(I214:I217)</f>
        <v>14.639904499053955</v>
      </c>
      <c r="K214" s="16">
        <f>(I214-J$2)</f>
        <v>-3.2963504791259766</v>
      </c>
      <c r="L214" s="18">
        <f t="shared" si="25"/>
        <v>9.8242718273450826</v>
      </c>
      <c r="O214"/>
      <c r="P214"/>
      <c r="Q214" s="2"/>
      <c r="S214"/>
      <c r="T214" s="2"/>
      <c r="Z214" s="18"/>
    </row>
    <row r="215" spans="1:26">
      <c r="A215" t="s">
        <v>524</v>
      </c>
      <c r="B215" t="s">
        <v>512</v>
      </c>
      <c r="C215" s="2">
        <v>4.6530952453613281</v>
      </c>
      <c r="E215" t="s">
        <v>503</v>
      </c>
      <c r="F215" s="2">
        <v>19.291000366210938</v>
      </c>
      <c r="H215" s="16">
        <f t="shared" si="26"/>
        <v>14.637905120849609</v>
      </c>
      <c r="I215" s="16">
        <v>14.637905120849609</v>
      </c>
      <c r="K215" s="16">
        <f>(I215-J$2)</f>
        <v>-3.2743492126464844</v>
      </c>
      <c r="L215" s="18">
        <f t="shared" si="25"/>
        <v>9.6755871548536874</v>
      </c>
      <c r="O215"/>
      <c r="P215"/>
      <c r="Q215" s="2"/>
      <c r="R215" s="19"/>
      <c r="S215"/>
      <c r="T215" s="2"/>
      <c r="U215" s="19"/>
      <c r="Z215" s="18"/>
    </row>
    <row r="216" spans="1:26">
      <c r="A216" t="s">
        <v>524</v>
      </c>
      <c r="B216" t="s">
        <v>512</v>
      </c>
      <c r="C216" s="2">
        <v>4.6530952453613281</v>
      </c>
      <c r="E216" t="s">
        <v>503</v>
      </c>
      <c r="F216" s="2">
        <v>19.329999923706055</v>
      </c>
      <c r="H216" s="16">
        <f t="shared" si="26"/>
        <v>14.676904678344727</v>
      </c>
      <c r="I216" s="16">
        <v>14.676904678344727</v>
      </c>
      <c r="K216" s="16">
        <f>(I216-J$2)</f>
        <v>-3.2353496551513672</v>
      </c>
      <c r="L216" s="18">
        <f t="shared" si="25"/>
        <v>9.4175360786029803</v>
      </c>
      <c r="O216"/>
      <c r="P216"/>
      <c r="Q216" s="2"/>
      <c r="S216"/>
      <c r="T216" s="2"/>
      <c r="Z216" s="18"/>
    </row>
    <row r="217" spans="1:26">
      <c r="A217" t="s">
        <v>524</v>
      </c>
      <c r="B217" t="s">
        <v>512</v>
      </c>
      <c r="C217" s="2">
        <v>4.6530952453613281</v>
      </c>
      <c r="E217" t="s">
        <v>503</v>
      </c>
      <c r="F217" s="2">
        <v>19.281999588012695</v>
      </c>
      <c r="H217" s="16">
        <f t="shared" si="26"/>
        <v>14.628904342651367</v>
      </c>
      <c r="I217" s="16">
        <v>14.628904342651367</v>
      </c>
      <c r="K217" s="16">
        <f>(I217-J$2)</f>
        <v>-3.2833499908447266</v>
      </c>
      <c r="L217" s="18">
        <f t="shared" si="25"/>
        <v>9.7361405232365588</v>
      </c>
      <c r="O217"/>
      <c r="P217"/>
      <c r="Q217" s="2"/>
      <c r="S217"/>
      <c r="T217" s="2"/>
      <c r="Z217" s="18"/>
    </row>
    <row r="218" spans="1:26">
      <c r="O218"/>
      <c r="P218"/>
      <c r="Q218" s="2"/>
      <c r="S218"/>
      <c r="T218" s="2"/>
      <c r="Z218" s="18"/>
    </row>
    <row r="219" spans="1:26">
      <c r="O219" s="13"/>
      <c r="P219"/>
      <c r="Q219" s="2"/>
      <c r="R219" s="19"/>
      <c r="S219"/>
      <c r="T219" s="2"/>
      <c r="U219" s="19"/>
      <c r="Z219" s="18"/>
    </row>
    <row r="220" spans="1:26">
      <c r="O220" s="13"/>
      <c r="P220"/>
      <c r="Q220" s="2"/>
      <c r="S220"/>
      <c r="T220" s="2"/>
      <c r="Z220" s="18"/>
    </row>
    <row r="221" spans="1:26">
      <c r="O221" s="13"/>
      <c r="P221"/>
      <c r="Q221" s="2"/>
      <c r="S221"/>
      <c r="T221" s="2"/>
      <c r="Z221" s="18"/>
    </row>
    <row r="222" spans="1:26">
      <c r="O222" s="13"/>
      <c r="P222"/>
      <c r="Q222" s="2"/>
      <c r="S222"/>
      <c r="T222" s="2"/>
      <c r="Z222" s="18"/>
    </row>
  </sheetData>
  <phoneticPr fontId="2" type="noConversion"/>
  <pageMargins left="0.75" right="0.75" top="1" bottom="1" header="0.5" footer="0.5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235"/>
  <sheetViews>
    <sheetView topLeftCell="A87" workbookViewId="0">
      <selection activeCell="C81" sqref="C81:C104"/>
    </sheetView>
  </sheetViews>
  <sheetFormatPr baseColWidth="10" defaultRowHeight="13"/>
  <cols>
    <col min="1" max="2" width="8.6640625" customWidth="1"/>
  </cols>
  <sheetData>
    <row r="1" spans="1:28">
      <c r="A1" s="1" t="s">
        <v>490</v>
      </c>
      <c r="B1" s="1"/>
      <c r="C1" t="s">
        <v>489</v>
      </c>
    </row>
    <row r="2" spans="1:28">
      <c r="A2" s="9" t="s">
        <v>495</v>
      </c>
      <c r="B2" t="s">
        <v>501</v>
      </c>
      <c r="C2">
        <v>0.84718599930925198</v>
      </c>
    </row>
    <row r="3" spans="1:28">
      <c r="A3" s="9" t="s">
        <v>495</v>
      </c>
      <c r="B3" t="s">
        <v>501</v>
      </c>
      <c r="C3">
        <v>1.1147730902921742</v>
      </c>
      <c r="E3">
        <v>0.84718599930925198</v>
      </c>
      <c r="F3">
        <v>1.1147730902921742</v>
      </c>
      <c r="G3">
        <v>0.78390444577286944</v>
      </c>
      <c r="H3">
        <v>1.3507395798717654</v>
      </c>
      <c r="I3">
        <v>1.403472499988083</v>
      </c>
      <c r="J3">
        <v>3.4247509284353974</v>
      </c>
      <c r="K3">
        <v>3.1405125159776701</v>
      </c>
      <c r="L3">
        <v>2.586498389799829</v>
      </c>
      <c r="M3">
        <v>2.2732414300809443</v>
      </c>
      <c r="N3">
        <v>2.7127386730223235</v>
      </c>
      <c r="O3">
        <v>4.2214821369037727</v>
      </c>
      <c r="P3">
        <v>5.1044263059141306</v>
      </c>
      <c r="Q3">
        <v>0.71251770681677717</v>
      </c>
      <c r="R3">
        <v>1.2648793216151737</v>
      </c>
      <c r="S3">
        <v>0.42602206330794012</v>
      </c>
      <c r="T3">
        <v>0.45062535045735069</v>
      </c>
      <c r="U3">
        <v>1.6434761292027047</v>
      </c>
      <c r="V3">
        <v>1.6826661789218067</v>
      </c>
      <c r="W3">
        <v>2.434709992113004</v>
      </c>
      <c r="X3">
        <v>2.04450151049884</v>
      </c>
      <c r="Y3">
        <v>0.47139225549481706</v>
      </c>
      <c r="Z3">
        <v>0.48330343957743122</v>
      </c>
      <c r="AA3">
        <v>0.34941157943323203</v>
      </c>
      <c r="AB3">
        <v>0.42454838590429611</v>
      </c>
    </row>
    <row r="4" spans="1:28">
      <c r="A4" s="9" t="s">
        <v>495</v>
      </c>
      <c r="B4" t="s">
        <v>501</v>
      </c>
      <c r="C4">
        <v>0.78390444577286944</v>
      </c>
    </row>
    <row r="5" spans="1:28">
      <c r="A5" s="9" t="s">
        <v>495</v>
      </c>
      <c r="B5" t="s">
        <v>501</v>
      </c>
      <c r="C5">
        <v>1.3507395798717654</v>
      </c>
    </row>
    <row r="6" spans="1:28">
      <c r="A6" t="s">
        <v>496</v>
      </c>
      <c r="B6" t="s">
        <v>501</v>
      </c>
      <c r="C6">
        <v>1.403472499988083</v>
      </c>
    </row>
    <row r="7" spans="1:28">
      <c r="A7" t="s">
        <v>496</v>
      </c>
      <c r="B7" t="s">
        <v>501</v>
      </c>
      <c r="C7">
        <v>3.4247509284353974</v>
      </c>
    </row>
    <row r="8" spans="1:28">
      <c r="A8" t="s">
        <v>496</v>
      </c>
      <c r="B8" t="s">
        <v>501</v>
      </c>
      <c r="C8">
        <v>3.1405125159776701</v>
      </c>
    </row>
    <row r="9" spans="1:28">
      <c r="A9" t="s">
        <v>496</v>
      </c>
      <c r="B9" t="s">
        <v>501</v>
      </c>
      <c r="C9">
        <v>2.586498389799829</v>
      </c>
    </row>
    <row r="10" spans="1:28">
      <c r="A10" t="s">
        <v>497</v>
      </c>
      <c r="B10" t="s">
        <v>501</v>
      </c>
      <c r="C10">
        <v>2.2732414300809443</v>
      </c>
    </row>
    <row r="11" spans="1:28">
      <c r="A11" t="s">
        <v>497</v>
      </c>
      <c r="B11" t="s">
        <v>501</v>
      </c>
      <c r="C11">
        <v>2.7127386730223235</v>
      </c>
    </row>
    <row r="12" spans="1:28">
      <c r="A12" t="s">
        <v>497</v>
      </c>
      <c r="B12" t="s">
        <v>501</v>
      </c>
      <c r="C12">
        <v>4.2214821369037727</v>
      </c>
    </row>
    <row r="13" spans="1:28">
      <c r="A13" t="s">
        <v>497</v>
      </c>
      <c r="B13" t="s">
        <v>501</v>
      </c>
      <c r="C13">
        <v>5.1044263059141306</v>
      </c>
    </row>
    <row r="14" spans="1:28">
      <c r="A14" t="s">
        <v>498</v>
      </c>
      <c r="B14" t="s">
        <v>501</v>
      </c>
      <c r="C14">
        <v>0.71251770681677717</v>
      </c>
    </row>
    <row r="15" spans="1:28">
      <c r="A15" t="s">
        <v>498</v>
      </c>
      <c r="B15" t="s">
        <v>501</v>
      </c>
      <c r="C15">
        <v>1.2648793216151737</v>
      </c>
    </row>
    <row r="16" spans="1:28">
      <c r="A16" t="s">
        <v>498</v>
      </c>
      <c r="B16" t="s">
        <v>501</v>
      </c>
      <c r="C16">
        <v>0.42602206330794012</v>
      </c>
    </row>
    <row r="17" spans="1:3">
      <c r="A17" t="s">
        <v>498</v>
      </c>
      <c r="B17" t="s">
        <v>501</v>
      </c>
      <c r="C17">
        <v>0.45062535045735069</v>
      </c>
    </row>
    <row r="18" spans="1:3">
      <c r="A18" t="s">
        <v>499</v>
      </c>
      <c r="B18" t="s">
        <v>501</v>
      </c>
      <c r="C18">
        <v>1.6434761292027047</v>
      </c>
    </row>
    <row r="19" spans="1:3">
      <c r="A19" t="s">
        <v>499</v>
      </c>
      <c r="B19" t="s">
        <v>501</v>
      </c>
      <c r="C19">
        <v>1.6826661789218067</v>
      </c>
    </row>
    <row r="20" spans="1:3">
      <c r="A20" t="s">
        <v>499</v>
      </c>
      <c r="B20" t="s">
        <v>501</v>
      </c>
      <c r="C20">
        <v>2.434709992113004</v>
      </c>
    </row>
    <row r="21" spans="1:3">
      <c r="A21" t="s">
        <v>499</v>
      </c>
      <c r="B21" t="s">
        <v>501</v>
      </c>
      <c r="C21">
        <v>2.04450151049884</v>
      </c>
    </row>
    <row r="22" spans="1:3">
      <c r="A22" t="s">
        <v>500</v>
      </c>
      <c r="B22" t="s">
        <v>501</v>
      </c>
      <c r="C22">
        <v>0.47139225549481706</v>
      </c>
    </row>
    <row r="23" spans="1:3">
      <c r="A23" t="s">
        <v>500</v>
      </c>
      <c r="B23" t="s">
        <v>501</v>
      </c>
      <c r="C23">
        <v>0.48330343957743122</v>
      </c>
    </row>
    <row r="24" spans="1:3">
      <c r="A24" t="s">
        <v>500</v>
      </c>
      <c r="B24" t="s">
        <v>501</v>
      </c>
      <c r="C24">
        <v>0.34941157943323203</v>
      </c>
    </row>
    <row r="25" spans="1:3">
      <c r="A25" t="s">
        <v>500</v>
      </c>
      <c r="B25" t="s">
        <v>501</v>
      </c>
      <c r="C25">
        <v>0.42454838590429611</v>
      </c>
    </row>
    <row r="26" spans="1:3">
      <c r="A26" s="1"/>
      <c r="B26" s="1"/>
    </row>
    <row r="27" spans="1:3">
      <c r="A27" s="1"/>
      <c r="B27" s="1"/>
    </row>
    <row r="28" spans="1:3">
      <c r="A28" s="1"/>
      <c r="B28" s="1"/>
    </row>
    <row r="29" spans="1:3">
      <c r="A29" s="9" t="s">
        <v>495</v>
      </c>
      <c r="B29" t="s">
        <v>502</v>
      </c>
      <c r="C29">
        <v>0.69339492499110611</v>
      </c>
    </row>
    <row r="30" spans="1:3">
      <c r="A30" s="9" t="s">
        <v>495</v>
      </c>
      <c r="B30" t="s">
        <v>502</v>
      </c>
      <c r="C30">
        <v>0.72585365138457258</v>
      </c>
    </row>
    <row r="31" spans="1:3">
      <c r="A31" s="9" t="s">
        <v>495</v>
      </c>
      <c r="B31" t="s">
        <v>502</v>
      </c>
      <c r="C31">
        <v>0.47722783653368639</v>
      </c>
    </row>
    <row r="32" spans="1:3">
      <c r="A32" s="9" t="s">
        <v>495</v>
      </c>
      <c r="B32" t="s">
        <v>502</v>
      </c>
      <c r="C32">
        <v>0.83958636507931972</v>
      </c>
    </row>
    <row r="33" spans="1:3">
      <c r="A33" t="s">
        <v>496</v>
      </c>
      <c r="B33" t="s">
        <v>502</v>
      </c>
      <c r="C33">
        <v>239.18790193544876</v>
      </c>
    </row>
    <row r="34" spans="1:3">
      <c r="A34" t="s">
        <v>496</v>
      </c>
      <c r="B34" t="s">
        <v>502</v>
      </c>
      <c r="C34">
        <v>423.4359147473694</v>
      </c>
    </row>
    <row r="35" spans="1:3">
      <c r="A35" t="s">
        <v>496</v>
      </c>
      <c r="B35" t="s">
        <v>502</v>
      </c>
      <c r="C35">
        <v>301.91527087713337</v>
      </c>
    </row>
    <row r="36" spans="1:3">
      <c r="A36" t="s">
        <v>496</v>
      </c>
      <c r="B36" t="s">
        <v>502</v>
      </c>
      <c r="C36">
        <v>112.04998535018944</v>
      </c>
    </row>
    <row r="37" spans="1:3">
      <c r="A37" t="s">
        <v>497</v>
      </c>
      <c r="B37" t="s">
        <v>502</v>
      </c>
      <c r="C37">
        <v>32.962430348881313</v>
      </c>
    </row>
    <row r="38" spans="1:3">
      <c r="A38" t="s">
        <v>497</v>
      </c>
      <c r="B38" t="s">
        <v>502</v>
      </c>
      <c r="C38">
        <v>44.903309128121457</v>
      </c>
    </row>
    <row r="39" spans="1:3">
      <c r="A39" t="s">
        <v>497</v>
      </c>
      <c r="B39" t="s">
        <v>502</v>
      </c>
      <c r="C39">
        <v>30.88319059555743</v>
      </c>
    </row>
    <row r="40" spans="1:3">
      <c r="A40" t="s">
        <v>497</v>
      </c>
      <c r="B40" t="s">
        <v>502</v>
      </c>
      <c r="C40">
        <v>55.435906028841302</v>
      </c>
    </row>
    <row r="41" spans="1:3">
      <c r="A41" t="s">
        <v>498</v>
      </c>
      <c r="B41" t="s">
        <v>502</v>
      </c>
      <c r="C41">
        <v>0.20222020813549604</v>
      </c>
    </row>
    <row r="42" spans="1:3">
      <c r="A42" t="s">
        <v>498</v>
      </c>
      <c r="B42" t="s">
        <v>502</v>
      </c>
      <c r="C42">
        <v>0.52485857828423899</v>
      </c>
    </row>
    <row r="43" spans="1:3">
      <c r="A43" t="s">
        <v>498</v>
      </c>
      <c r="B43" t="s">
        <v>502</v>
      </c>
      <c r="C43">
        <v>0.26097785884607516</v>
      </c>
    </row>
    <row r="44" spans="1:3">
      <c r="A44" t="s">
        <v>498</v>
      </c>
      <c r="B44" t="s">
        <v>502</v>
      </c>
      <c r="C44">
        <v>0.17628728049652423</v>
      </c>
    </row>
    <row r="45" spans="1:3">
      <c r="A45" t="s">
        <v>499</v>
      </c>
      <c r="B45" t="s">
        <v>502</v>
      </c>
      <c r="C45">
        <v>3.0078867362390302</v>
      </c>
    </row>
    <row r="46" spans="1:3">
      <c r="A46" t="s">
        <v>499</v>
      </c>
      <c r="B46" t="s">
        <v>502</v>
      </c>
      <c r="C46">
        <v>4.0890030316469952</v>
      </c>
    </row>
    <row r="47" spans="1:3">
      <c r="A47" t="s">
        <v>499</v>
      </c>
      <c r="B47" t="s">
        <v>502</v>
      </c>
      <c r="C47">
        <v>4.2715179722972563</v>
      </c>
    </row>
    <row r="48" spans="1:3">
      <c r="A48" t="s">
        <v>499</v>
      </c>
      <c r="B48" t="s">
        <v>502</v>
      </c>
      <c r="C48">
        <v>4.2922937793957381</v>
      </c>
    </row>
    <row r="49" spans="1:3">
      <c r="A49" t="s">
        <v>500</v>
      </c>
      <c r="B49" t="s">
        <v>502</v>
      </c>
      <c r="C49">
        <v>0.95926382011526179</v>
      </c>
    </row>
    <row r="50" spans="1:3">
      <c r="A50" t="s">
        <v>500</v>
      </c>
      <c r="B50" t="s">
        <v>502</v>
      </c>
      <c r="C50">
        <v>0.78949462546877414</v>
      </c>
    </row>
    <row r="51" spans="1:3">
      <c r="A51" t="s">
        <v>500</v>
      </c>
      <c r="B51" t="s">
        <v>502</v>
      </c>
      <c r="C51">
        <v>0.65838382155146569</v>
      </c>
    </row>
    <row r="52" spans="1:3">
      <c r="A52" t="s">
        <v>500</v>
      </c>
      <c r="B52" t="s">
        <v>502</v>
      </c>
      <c r="C52">
        <v>0.71400243031120203</v>
      </c>
    </row>
    <row r="53" spans="1:3">
      <c r="A53" s="4"/>
      <c r="B53" s="1"/>
    </row>
    <row r="54" spans="1:3">
      <c r="A54" s="4"/>
      <c r="B54" s="1"/>
    </row>
    <row r="55" spans="1:3">
      <c r="A55" s="9" t="s">
        <v>495</v>
      </c>
      <c r="B55" t="s">
        <v>503</v>
      </c>
      <c r="C55">
        <v>0.71586061849838412</v>
      </c>
    </row>
    <row r="56" spans="1:3">
      <c r="A56" s="9" t="s">
        <v>495</v>
      </c>
      <c r="B56" t="s">
        <v>503</v>
      </c>
      <c r="C56">
        <v>0.94654960650751052</v>
      </c>
    </row>
    <row r="57" spans="1:3">
      <c r="A57" s="9" t="s">
        <v>495</v>
      </c>
      <c r="B57" t="s">
        <v>503</v>
      </c>
      <c r="C57">
        <v>0.64875735687448677</v>
      </c>
    </row>
    <row r="58" spans="1:3">
      <c r="A58" s="9" t="s">
        <v>495</v>
      </c>
      <c r="B58" t="s">
        <v>503</v>
      </c>
      <c r="C58">
        <v>1.1437325916965426</v>
      </c>
    </row>
    <row r="59" spans="1:3">
      <c r="A59" t="s">
        <v>496</v>
      </c>
      <c r="B59" t="s">
        <v>503</v>
      </c>
      <c r="C59">
        <v>18.597019671979471</v>
      </c>
    </row>
    <row r="60" spans="1:3">
      <c r="A60" t="s">
        <v>496</v>
      </c>
      <c r="B60" t="s">
        <v>503</v>
      </c>
      <c r="C60">
        <v>42.695152267342664</v>
      </c>
    </row>
    <row r="61" spans="1:3">
      <c r="A61" t="s">
        <v>496</v>
      </c>
      <c r="B61" t="s">
        <v>503</v>
      </c>
      <c r="C61">
        <v>22.054457838573136</v>
      </c>
    </row>
    <row r="62" spans="1:3">
      <c r="A62" t="s">
        <v>496</v>
      </c>
      <c r="B62" t="s">
        <v>503</v>
      </c>
      <c r="C62">
        <v>14.560624419329837</v>
      </c>
    </row>
    <row r="63" spans="1:3">
      <c r="A63" t="s">
        <v>497</v>
      </c>
      <c r="B63" t="s">
        <v>503</v>
      </c>
      <c r="C63">
        <v>20.962673766886933</v>
      </c>
    </row>
    <row r="64" spans="1:3">
      <c r="A64" t="s">
        <v>497</v>
      </c>
      <c r="B64" t="s">
        <v>503</v>
      </c>
      <c r="C64">
        <v>22.173278761719548</v>
      </c>
    </row>
    <row r="65" spans="1:3">
      <c r="A65" t="s">
        <v>497</v>
      </c>
      <c r="B65" t="s">
        <v>503</v>
      </c>
      <c r="C65">
        <v>25.897666214492595</v>
      </c>
    </row>
    <row r="66" spans="1:3">
      <c r="A66" t="s">
        <v>497</v>
      </c>
      <c r="B66" t="s">
        <v>503</v>
      </c>
      <c r="C66">
        <v>23.996442330610115</v>
      </c>
    </row>
    <row r="67" spans="1:3">
      <c r="A67" t="s">
        <v>498</v>
      </c>
      <c r="B67" t="s">
        <v>503</v>
      </c>
      <c r="C67">
        <v>0.46041240546946327</v>
      </c>
    </row>
    <row r="68" spans="1:3">
      <c r="A68" t="s">
        <v>498</v>
      </c>
      <c r="B68" t="s">
        <v>503</v>
      </c>
      <c r="C68">
        <v>0.6430487043083688</v>
      </c>
    </row>
    <row r="69" spans="1:3">
      <c r="A69" t="s">
        <v>498</v>
      </c>
      <c r="B69" t="s">
        <v>503</v>
      </c>
      <c r="C69">
        <v>0.27055604237668684</v>
      </c>
    </row>
    <row r="70" spans="1:3">
      <c r="A70" t="s">
        <v>498</v>
      </c>
      <c r="B70" t="s">
        <v>503</v>
      </c>
      <c r="C70">
        <v>0.33727589399244684</v>
      </c>
    </row>
    <row r="71" spans="1:3">
      <c r="A71" t="s">
        <v>499</v>
      </c>
      <c r="B71" t="s">
        <v>503</v>
      </c>
      <c r="C71">
        <v>5.9494219210654311</v>
      </c>
    </row>
    <row r="72" spans="1:3">
      <c r="A72" t="s">
        <v>499</v>
      </c>
      <c r="B72" t="s">
        <v>503</v>
      </c>
      <c r="C72">
        <v>5.3285725178348056</v>
      </c>
    </row>
    <row r="73" spans="1:3">
      <c r="A73" t="s">
        <v>499</v>
      </c>
      <c r="B73" t="s">
        <v>503</v>
      </c>
      <c r="C73">
        <v>6.8010160119613019</v>
      </c>
    </row>
    <row r="74" spans="1:3">
      <c r="A74" t="s">
        <v>499</v>
      </c>
      <c r="B74" t="s">
        <v>503</v>
      </c>
      <c r="C74">
        <v>4.947668177970824</v>
      </c>
    </row>
    <row r="75" spans="1:3">
      <c r="A75" t="s">
        <v>500</v>
      </c>
      <c r="B75" t="s">
        <v>503</v>
      </c>
      <c r="C75">
        <v>9.4273719396061884E-2</v>
      </c>
    </row>
    <row r="76" spans="1:3">
      <c r="A76" t="s">
        <v>500</v>
      </c>
      <c r="B76" t="s">
        <v>503</v>
      </c>
      <c r="C76">
        <v>0.11768489457458045</v>
      </c>
    </row>
    <row r="77" spans="1:3">
      <c r="A77" t="s">
        <v>500</v>
      </c>
      <c r="B77" t="s">
        <v>503</v>
      </c>
      <c r="C77">
        <v>8.0996314408739792E-2</v>
      </c>
    </row>
    <row r="78" spans="1:3">
      <c r="A78" t="s">
        <v>500</v>
      </c>
      <c r="B78" t="s">
        <v>503</v>
      </c>
      <c r="C78">
        <v>0.10972781812508486</v>
      </c>
    </row>
    <row r="79" spans="1:3">
      <c r="A79" s="4"/>
      <c r="B79" s="1"/>
    </row>
    <row r="80" spans="1:3">
      <c r="A80" s="1"/>
      <c r="B80" s="1"/>
    </row>
    <row r="81" spans="1:3">
      <c r="A81" s="9" t="s">
        <v>495</v>
      </c>
      <c r="B81" t="s">
        <v>504</v>
      </c>
      <c r="C81">
        <v>3.7104803210702551E-2</v>
      </c>
    </row>
    <row r="82" spans="1:3">
      <c r="A82" s="9" t="s">
        <v>495</v>
      </c>
      <c r="B82" t="s">
        <v>504</v>
      </c>
      <c r="C82">
        <v>5.1644195071372717E-2</v>
      </c>
    </row>
    <row r="83" spans="1:3">
      <c r="A83" s="9" t="s">
        <v>495</v>
      </c>
      <c r="B83" t="s">
        <v>504</v>
      </c>
      <c r="C83">
        <v>3.4143387561562266E-2</v>
      </c>
    </row>
    <row r="84" spans="1:3">
      <c r="A84" s="9" t="s">
        <v>495</v>
      </c>
      <c r="B84" t="s">
        <v>504</v>
      </c>
      <c r="C84">
        <v>5.6553106106676729E-2</v>
      </c>
    </row>
    <row r="85" spans="1:3">
      <c r="A85" t="s">
        <v>496</v>
      </c>
      <c r="B85" t="s">
        <v>504</v>
      </c>
      <c r="C85">
        <v>106.59530346422166</v>
      </c>
    </row>
    <row r="86" spans="1:3">
      <c r="A86" t="s">
        <v>496</v>
      </c>
      <c r="B86" t="s">
        <v>504</v>
      </c>
      <c r="C86">
        <v>293.86301794688086</v>
      </c>
    </row>
    <row r="87" spans="1:3">
      <c r="A87" t="s">
        <v>496</v>
      </c>
      <c r="B87" t="s">
        <v>504</v>
      </c>
      <c r="C87">
        <v>192.67150113742287</v>
      </c>
    </row>
    <row r="88" spans="1:3">
      <c r="A88" t="s">
        <v>496</v>
      </c>
      <c r="B88" t="s">
        <v>504</v>
      </c>
      <c r="C88">
        <v>119.51101272486105</v>
      </c>
    </row>
    <row r="89" spans="1:3">
      <c r="A89" t="s">
        <v>497</v>
      </c>
      <c r="B89" t="s">
        <v>504</v>
      </c>
      <c r="C89">
        <v>4.971736954223692</v>
      </c>
    </row>
    <row r="90" spans="1:3">
      <c r="A90" t="s">
        <v>497</v>
      </c>
      <c r="B90" t="s">
        <v>504</v>
      </c>
      <c r="C90">
        <v>5.369358520374174</v>
      </c>
    </row>
    <row r="91" spans="1:3">
      <c r="A91" t="s">
        <v>497</v>
      </c>
      <c r="B91" t="s">
        <v>504</v>
      </c>
      <c r="C91">
        <v>4.7990532560512351</v>
      </c>
    </row>
    <row r="92" spans="1:3">
      <c r="A92" t="s">
        <v>497</v>
      </c>
      <c r="B92" t="s">
        <v>504</v>
      </c>
      <c r="C92">
        <v>5.4821793448127725</v>
      </c>
    </row>
    <row r="93" spans="1:3">
      <c r="A93" t="s">
        <v>498</v>
      </c>
      <c r="B93" t="s">
        <v>504</v>
      </c>
      <c r="C93">
        <v>0.48666450177811088</v>
      </c>
    </row>
    <row r="94" spans="1:3">
      <c r="A94" t="s">
        <v>498</v>
      </c>
      <c r="B94" t="s">
        <v>504</v>
      </c>
      <c r="C94">
        <v>0.80162534211708203</v>
      </c>
    </row>
    <row r="95" spans="1:3">
      <c r="A95" t="s">
        <v>498</v>
      </c>
      <c r="B95" t="s">
        <v>504</v>
      </c>
      <c r="C95">
        <v>0.37866652089675013</v>
      </c>
    </row>
    <row r="96" spans="1:3">
      <c r="A96" t="s">
        <v>498</v>
      </c>
      <c r="B96" t="s">
        <v>504</v>
      </c>
      <c r="C96">
        <v>0.40612616811011637</v>
      </c>
    </row>
    <row r="97" spans="1:3">
      <c r="A97" t="s">
        <v>499</v>
      </c>
      <c r="B97" t="s">
        <v>504</v>
      </c>
      <c r="C97">
        <v>2.591432828160388</v>
      </c>
    </row>
    <row r="98" spans="1:3">
      <c r="A98" t="s">
        <v>499</v>
      </c>
      <c r="B98" t="s">
        <v>504</v>
      </c>
      <c r="C98">
        <v>2.3145788701325665</v>
      </c>
    </row>
    <row r="99" spans="1:3">
      <c r="A99" t="s">
        <v>499</v>
      </c>
      <c r="B99" t="s">
        <v>504</v>
      </c>
      <c r="C99">
        <v>2.735396179668736</v>
      </c>
    </row>
    <row r="100" spans="1:3">
      <c r="A100" t="s">
        <v>499</v>
      </c>
      <c r="B100" t="s">
        <v>504</v>
      </c>
      <c r="C100">
        <v>2.3001844282044117</v>
      </c>
    </row>
    <row r="101" spans="1:3">
      <c r="A101" t="s">
        <v>500</v>
      </c>
      <c r="B101" t="s">
        <v>504</v>
      </c>
      <c r="C101">
        <v>1.5495571705267226E-2</v>
      </c>
    </row>
    <row r="102" spans="1:3">
      <c r="A102" t="s">
        <v>500</v>
      </c>
      <c r="B102" t="s">
        <v>504</v>
      </c>
      <c r="C102">
        <v>1.8161160331009011E-2</v>
      </c>
    </row>
    <row r="103" spans="1:3">
      <c r="A103" t="s">
        <v>500</v>
      </c>
      <c r="B103" t="s">
        <v>504</v>
      </c>
      <c r="C103">
        <v>1.4033317843931487E-2</v>
      </c>
    </row>
    <row r="104" spans="1:3">
      <c r="A104" t="s">
        <v>500</v>
      </c>
      <c r="B104" t="s">
        <v>504</v>
      </c>
      <c r="C104">
        <v>1.325793827784599E-2</v>
      </c>
    </row>
    <row r="105" spans="1:3">
      <c r="A105" s="4"/>
      <c r="B105" s="1"/>
    </row>
    <row r="106" spans="1:3">
      <c r="A106" s="1"/>
      <c r="B106" s="1"/>
    </row>
    <row r="107" spans="1:3">
      <c r="A107" t="s">
        <v>505</v>
      </c>
      <c r="B107" t="s">
        <v>501</v>
      </c>
      <c r="C107">
        <v>0.77956966206133538</v>
      </c>
    </row>
    <row r="108" spans="1:3">
      <c r="A108" t="s">
        <v>505</v>
      </c>
      <c r="B108" t="s">
        <v>501</v>
      </c>
      <c r="C108">
        <v>0.64965686457360838</v>
      </c>
    </row>
    <row r="109" spans="1:3">
      <c r="A109" t="s">
        <v>505</v>
      </c>
      <c r="B109" t="s">
        <v>501</v>
      </c>
      <c r="C109">
        <v>0.76723954278828199</v>
      </c>
    </row>
    <row r="110" spans="1:3">
      <c r="A110" t="s">
        <v>505</v>
      </c>
      <c r="B110" t="s">
        <v>501</v>
      </c>
      <c r="C110">
        <v>0.75510580979926112</v>
      </c>
    </row>
    <row r="111" spans="1:3">
      <c r="A111" t="s">
        <v>506</v>
      </c>
      <c r="B111" t="s">
        <v>501</v>
      </c>
      <c r="C111">
        <v>2.1614507141864934</v>
      </c>
    </row>
    <row r="112" spans="1:3">
      <c r="A112" t="s">
        <v>506</v>
      </c>
      <c r="B112" t="s">
        <v>501</v>
      </c>
      <c r="C112">
        <v>2.7472724478165982</v>
      </c>
    </row>
    <row r="113" spans="1:3">
      <c r="A113" t="s">
        <v>506</v>
      </c>
      <c r="B113" t="s">
        <v>501</v>
      </c>
      <c r="C113">
        <v>2.9752309276173934</v>
      </c>
    </row>
    <row r="114" spans="1:3">
      <c r="A114" t="s">
        <v>506</v>
      </c>
      <c r="B114" t="s">
        <v>501</v>
      </c>
      <c r="C114">
        <v>2.5686301758230492</v>
      </c>
    </row>
    <row r="115" spans="1:3">
      <c r="A115" t="s">
        <v>507</v>
      </c>
      <c r="B115" t="s">
        <v>501</v>
      </c>
      <c r="C115">
        <v>1.5569800107169189</v>
      </c>
    </row>
    <row r="116" spans="1:3">
      <c r="A116" t="s">
        <v>507</v>
      </c>
      <c r="B116" t="s">
        <v>501</v>
      </c>
      <c r="C116">
        <v>2.0163562718799715</v>
      </c>
    </row>
    <row r="117" spans="1:3">
      <c r="A117" t="s">
        <v>507</v>
      </c>
      <c r="B117" t="s">
        <v>501</v>
      </c>
      <c r="C117">
        <v>2.091806426752377</v>
      </c>
    </row>
    <row r="118" spans="1:3">
      <c r="A118" t="s">
        <v>507</v>
      </c>
      <c r="B118" t="s">
        <v>501</v>
      </c>
      <c r="C118">
        <v>1.8709235426987076</v>
      </c>
    </row>
    <row r="119" spans="1:3">
      <c r="A119" t="s">
        <v>508</v>
      </c>
      <c r="B119" t="s">
        <v>501</v>
      </c>
      <c r="C119">
        <v>0.9395223389407491</v>
      </c>
    </row>
    <row r="120" spans="1:3">
      <c r="A120" t="s">
        <v>508</v>
      </c>
      <c r="B120" t="s">
        <v>501</v>
      </c>
      <c r="C120">
        <v>0.63507485738057923</v>
      </c>
    </row>
    <row r="121" spans="1:3">
      <c r="A121" t="s">
        <v>508</v>
      </c>
      <c r="B121" t="s">
        <v>501</v>
      </c>
      <c r="C121">
        <v>0.78567231517053215</v>
      </c>
    </row>
    <row r="122" spans="1:3">
      <c r="A122" t="s">
        <v>508</v>
      </c>
      <c r="B122" t="s">
        <v>501</v>
      </c>
      <c r="C122">
        <v>0.7164808450516158</v>
      </c>
    </row>
    <row r="123" spans="1:3">
      <c r="A123" t="s">
        <v>509</v>
      </c>
      <c r="B123" t="s">
        <v>501</v>
      </c>
      <c r="C123">
        <v>1.1923019983272953</v>
      </c>
    </row>
    <row r="124" spans="1:3">
      <c r="A124" t="s">
        <v>509</v>
      </c>
      <c r="B124" t="s">
        <v>501</v>
      </c>
      <c r="C124">
        <v>1.1469074938088601</v>
      </c>
    </row>
    <row r="125" spans="1:3">
      <c r="A125" t="s">
        <v>509</v>
      </c>
      <c r="B125" t="s">
        <v>501</v>
      </c>
      <c r="C125">
        <v>1.0379593849059003</v>
      </c>
    </row>
    <row r="126" spans="1:3">
      <c r="A126" t="s">
        <v>509</v>
      </c>
      <c r="B126" t="s">
        <v>501</v>
      </c>
      <c r="C126">
        <v>1.0372401108660676</v>
      </c>
    </row>
    <row r="127" spans="1:3">
      <c r="A127" t="s">
        <v>510</v>
      </c>
      <c r="B127" t="s">
        <v>501</v>
      </c>
      <c r="C127">
        <v>0.57634320935359085</v>
      </c>
    </row>
    <row r="128" spans="1:3">
      <c r="A128" t="s">
        <v>510</v>
      </c>
      <c r="B128" t="s">
        <v>501</v>
      </c>
      <c r="C128">
        <v>0.70563841081545209</v>
      </c>
    </row>
    <row r="129" spans="1:3">
      <c r="A129" t="s">
        <v>510</v>
      </c>
      <c r="B129" t="s">
        <v>501</v>
      </c>
      <c r="C129">
        <v>0.82817051208307857</v>
      </c>
    </row>
    <row r="130" spans="1:3">
      <c r="A130" t="s">
        <v>510</v>
      </c>
      <c r="B130" t="s">
        <v>501</v>
      </c>
      <c r="C130">
        <v>0.62373276001670508</v>
      </c>
    </row>
    <row r="131" spans="1:3">
      <c r="A131" s="4"/>
      <c r="B131" s="1"/>
    </row>
    <row r="133" spans="1:3">
      <c r="A133" t="s">
        <v>505</v>
      </c>
      <c r="B133" t="s">
        <v>502</v>
      </c>
      <c r="C133">
        <v>0.4859065034617952</v>
      </c>
    </row>
    <row r="134" spans="1:3">
      <c r="A134" t="s">
        <v>505</v>
      </c>
      <c r="B134" t="s">
        <v>502</v>
      </c>
      <c r="C134">
        <v>0.48088032581234014</v>
      </c>
    </row>
    <row r="135" spans="1:3">
      <c r="A135" t="s">
        <v>505</v>
      </c>
      <c r="B135" t="s">
        <v>502</v>
      </c>
      <c r="C135">
        <v>0.471964638928418</v>
      </c>
    </row>
    <row r="136" spans="1:3">
      <c r="A136" t="s">
        <v>505</v>
      </c>
      <c r="B136" t="s">
        <v>502</v>
      </c>
      <c r="C136">
        <v>0.45842241808370154</v>
      </c>
    </row>
    <row r="137" spans="1:3">
      <c r="A137" t="s">
        <v>506</v>
      </c>
      <c r="B137" t="s">
        <v>502</v>
      </c>
      <c r="C137">
        <v>2.8560069021317802</v>
      </c>
    </row>
    <row r="138" spans="1:3">
      <c r="A138" t="s">
        <v>506</v>
      </c>
      <c r="B138" t="s">
        <v>502</v>
      </c>
      <c r="C138">
        <v>3.5015662076077807</v>
      </c>
    </row>
    <row r="139" spans="1:3">
      <c r="A139" t="s">
        <v>506</v>
      </c>
      <c r="B139" t="s">
        <v>502</v>
      </c>
      <c r="C139">
        <v>3.9751216404800891</v>
      </c>
    </row>
    <row r="140" spans="1:3">
      <c r="A140" t="s">
        <v>506</v>
      </c>
      <c r="B140" t="s">
        <v>502</v>
      </c>
      <c r="C140">
        <v>3.7868560068709551</v>
      </c>
    </row>
    <row r="141" spans="1:3">
      <c r="A141" t="s">
        <v>507</v>
      </c>
      <c r="B141" t="s">
        <v>502</v>
      </c>
      <c r="C141">
        <v>3.8845585646018583</v>
      </c>
    </row>
    <row r="142" spans="1:3">
      <c r="A142" t="s">
        <v>507</v>
      </c>
      <c r="B142" t="s">
        <v>502</v>
      </c>
      <c r="C142">
        <v>3.5596866881234024</v>
      </c>
    </row>
    <row r="143" spans="1:3">
      <c r="A143" t="s">
        <v>507</v>
      </c>
      <c r="B143" t="s">
        <v>502</v>
      </c>
      <c r="C143">
        <v>4.1894189354721254</v>
      </c>
    </row>
    <row r="144" spans="1:3">
      <c r="A144" t="s">
        <v>507</v>
      </c>
      <c r="B144" t="s">
        <v>502</v>
      </c>
      <c r="C144">
        <v>4.1288754294532852</v>
      </c>
    </row>
    <row r="145" spans="1:3">
      <c r="A145" t="s">
        <v>508</v>
      </c>
      <c r="B145" t="s">
        <v>502</v>
      </c>
      <c r="C145">
        <v>2.2252989466856072</v>
      </c>
    </row>
    <row r="146" spans="1:3">
      <c r="A146" t="s">
        <v>508</v>
      </c>
      <c r="B146" t="s">
        <v>502</v>
      </c>
      <c r="C146">
        <v>1.9697327399597557</v>
      </c>
    </row>
    <row r="147" spans="1:3">
      <c r="A147" t="s">
        <v>508</v>
      </c>
      <c r="B147" t="s">
        <v>502</v>
      </c>
      <c r="C147">
        <v>1.6529001642932259</v>
      </c>
    </row>
    <row r="148" spans="1:3">
      <c r="A148" t="s">
        <v>508</v>
      </c>
      <c r="B148" t="s">
        <v>502</v>
      </c>
      <c r="C148">
        <v>1.7556450807169921</v>
      </c>
    </row>
    <row r="149" spans="1:3">
      <c r="A149" t="s">
        <v>509</v>
      </c>
      <c r="B149" t="s">
        <v>502</v>
      </c>
      <c r="C149">
        <v>1.2190432307614356</v>
      </c>
    </row>
    <row r="150" spans="1:3">
      <c r="A150" t="s">
        <v>509</v>
      </c>
      <c r="B150" t="s">
        <v>502</v>
      </c>
      <c r="C150">
        <v>1.2778771667155067</v>
      </c>
    </row>
    <row r="151" spans="1:3">
      <c r="A151" t="s">
        <v>509</v>
      </c>
      <c r="B151" t="s">
        <v>502</v>
      </c>
      <c r="C151">
        <v>1.3423401341003185</v>
      </c>
    </row>
    <row r="152" spans="1:3">
      <c r="A152" t="s">
        <v>509</v>
      </c>
      <c r="B152" t="s">
        <v>502</v>
      </c>
      <c r="C152">
        <v>1.146112766988</v>
      </c>
    </row>
    <row r="153" spans="1:3">
      <c r="A153" t="s">
        <v>510</v>
      </c>
      <c r="B153" t="s">
        <v>502</v>
      </c>
      <c r="C153">
        <v>0.72648235574418685</v>
      </c>
    </row>
    <row r="154" spans="1:3">
      <c r="A154" t="s">
        <v>510</v>
      </c>
      <c r="B154" t="s">
        <v>502</v>
      </c>
      <c r="C154">
        <v>0.75314568736227239</v>
      </c>
    </row>
    <row r="155" spans="1:3">
      <c r="A155" t="s">
        <v>510</v>
      </c>
      <c r="B155" t="s">
        <v>502</v>
      </c>
      <c r="C155">
        <v>0.68444196445839522</v>
      </c>
    </row>
    <row r="156" spans="1:3">
      <c r="A156" t="s">
        <v>510</v>
      </c>
      <c r="B156" t="s">
        <v>502</v>
      </c>
      <c r="C156">
        <v>0.74794338546505557</v>
      </c>
    </row>
    <row r="157" spans="1:3">
      <c r="A157" s="4"/>
      <c r="B157" s="1"/>
    </row>
    <row r="159" spans="1:3">
      <c r="A159" t="s">
        <v>505</v>
      </c>
      <c r="B159" t="s">
        <v>502</v>
      </c>
      <c r="C159">
        <v>0.4859065034617952</v>
      </c>
    </row>
    <row r="160" spans="1:3">
      <c r="A160" t="s">
        <v>505</v>
      </c>
      <c r="B160" t="s">
        <v>502</v>
      </c>
      <c r="C160">
        <v>0.48088032581234014</v>
      </c>
    </row>
    <row r="161" spans="1:3">
      <c r="A161" t="s">
        <v>505</v>
      </c>
      <c r="B161" t="s">
        <v>502</v>
      </c>
      <c r="C161">
        <v>0.471964638928418</v>
      </c>
    </row>
    <row r="162" spans="1:3">
      <c r="A162" t="s">
        <v>505</v>
      </c>
      <c r="B162" t="s">
        <v>502</v>
      </c>
      <c r="C162">
        <v>0.45842241808370154</v>
      </c>
    </row>
    <row r="163" spans="1:3">
      <c r="A163" t="s">
        <v>506</v>
      </c>
      <c r="B163" t="s">
        <v>502</v>
      </c>
      <c r="C163">
        <v>2.8560069021317802</v>
      </c>
    </row>
    <row r="164" spans="1:3">
      <c r="A164" t="s">
        <v>506</v>
      </c>
      <c r="B164" t="s">
        <v>502</v>
      </c>
      <c r="C164">
        <v>3.5015662076077807</v>
      </c>
    </row>
    <row r="165" spans="1:3">
      <c r="A165" t="s">
        <v>506</v>
      </c>
      <c r="B165" t="s">
        <v>502</v>
      </c>
      <c r="C165">
        <v>3.9751216404800891</v>
      </c>
    </row>
    <row r="166" spans="1:3">
      <c r="A166" t="s">
        <v>506</v>
      </c>
      <c r="B166" t="s">
        <v>502</v>
      </c>
      <c r="C166">
        <v>3.7868560068709551</v>
      </c>
    </row>
    <row r="167" spans="1:3">
      <c r="A167" t="s">
        <v>507</v>
      </c>
      <c r="B167" t="s">
        <v>502</v>
      </c>
      <c r="C167">
        <v>3.8845585646018583</v>
      </c>
    </row>
    <row r="168" spans="1:3">
      <c r="A168" t="s">
        <v>507</v>
      </c>
      <c r="B168" t="s">
        <v>502</v>
      </c>
      <c r="C168">
        <v>3.5596866881234024</v>
      </c>
    </row>
    <row r="169" spans="1:3">
      <c r="A169" t="s">
        <v>507</v>
      </c>
      <c r="B169" t="s">
        <v>502</v>
      </c>
      <c r="C169">
        <v>4.1894189354721254</v>
      </c>
    </row>
    <row r="170" spans="1:3">
      <c r="A170" t="s">
        <v>507</v>
      </c>
      <c r="B170" t="s">
        <v>502</v>
      </c>
      <c r="C170">
        <v>4.1288754294532852</v>
      </c>
    </row>
    <row r="171" spans="1:3">
      <c r="A171" t="s">
        <v>508</v>
      </c>
      <c r="B171" t="s">
        <v>502</v>
      </c>
      <c r="C171">
        <v>2.2252989466856072</v>
      </c>
    </row>
    <row r="172" spans="1:3">
      <c r="A172" t="s">
        <v>508</v>
      </c>
      <c r="B172" t="s">
        <v>502</v>
      </c>
      <c r="C172">
        <v>1.9697327399597557</v>
      </c>
    </row>
    <row r="173" spans="1:3">
      <c r="A173" t="s">
        <v>508</v>
      </c>
      <c r="B173" t="s">
        <v>502</v>
      </c>
      <c r="C173">
        <v>1.6529001642932259</v>
      </c>
    </row>
    <row r="174" spans="1:3">
      <c r="A174" t="s">
        <v>508</v>
      </c>
      <c r="B174" t="s">
        <v>502</v>
      </c>
      <c r="C174">
        <v>1.7556450807169921</v>
      </c>
    </row>
    <row r="175" spans="1:3">
      <c r="A175" t="s">
        <v>509</v>
      </c>
      <c r="B175" t="s">
        <v>502</v>
      </c>
      <c r="C175">
        <v>1.2190432307614356</v>
      </c>
    </row>
    <row r="176" spans="1:3">
      <c r="A176" t="s">
        <v>509</v>
      </c>
      <c r="B176" t="s">
        <v>502</v>
      </c>
      <c r="C176">
        <v>1.2778771667155067</v>
      </c>
    </row>
    <row r="177" spans="1:3">
      <c r="A177" t="s">
        <v>509</v>
      </c>
      <c r="B177" t="s">
        <v>502</v>
      </c>
      <c r="C177">
        <v>1.3423401341003185</v>
      </c>
    </row>
    <row r="178" spans="1:3">
      <c r="A178" t="s">
        <v>509</v>
      </c>
      <c r="B178" t="s">
        <v>502</v>
      </c>
      <c r="C178">
        <v>1.146112766988</v>
      </c>
    </row>
    <row r="179" spans="1:3">
      <c r="A179" t="s">
        <v>510</v>
      </c>
      <c r="B179" t="s">
        <v>502</v>
      </c>
      <c r="C179">
        <v>0.72648235574418685</v>
      </c>
    </row>
    <row r="180" spans="1:3">
      <c r="A180" t="s">
        <v>510</v>
      </c>
      <c r="B180" t="s">
        <v>502</v>
      </c>
      <c r="C180">
        <v>0.75314568736227239</v>
      </c>
    </row>
    <row r="181" spans="1:3">
      <c r="A181" t="s">
        <v>510</v>
      </c>
      <c r="B181" t="s">
        <v>502</v>
      </c>
      <c r="C181">
        <v>0.68444196445839522</v>
      </c>
    </row>
    <row r="182" spans="1:3">
      <c r="A182" t="s">
        <v>510</v>
      </c>
      <c r="B182" t="s">
        <v>502</v>
      </c>
      <c r="C182">
        <v>0.74794338546505557</v>
      </c>
    </row>
    <row r="183" spans="1:3">
      <c r="A183" s="4"/>
      <c r="B183" s="1"/>
    </row>
    <row r="185" spans="1:3">
      <c r="A185" t="s">
        <v>505</v>
      </c>
      <c r="B185" t="s">
        <v>503</v>
      </c>
      <c r="C185">
        <v>0.49166575971938659</v>
      </c>
    </row>
    <row r="186" spans="1:3">
      <c r="A186" t="s">
        <v>505</v>
      </c>
      <c r="B186" t="s">
        <v>503</v>
      </c>
      <c r="C186">
        <v>0.50935725250192565</v>
      </c>
    </row>
    <row r="187" spans="1:3">
      <c r="A187" t="s">
        <v>505</v>
      </c>
      <c r="B187" t="s">
        <v>503</v>
      </c>
      <c r="C187">
        <v>0.46935446616109511</v>
      </c>
    </row>
    <row r="188" spans="1:3">
      <c r="A188" t="s">
        <v>505</v>
      </c>
      <c r="B188" t="s">
        <v>503</v>
      </c>
      <c r="C188">
        <v>0.44961117296582548</v>
      </c>
    </row>
    <row r="189" spans="1:3">
      <c r="A189" t="s">
        <v>506</v>
      </c>
      <c r="B189" t="s">
        <v>503</v>
      </c>
      <c r="C189">
        <v>6.5978683888806406</v>
      </c>
    </row>
    <row r="190" spans="1:3">
      <c r="A190" t="s">
        <v>506</v>
      </c>
      <c r="B190" t="s">
        <v>503</v>
      </c>
      <c r="C190">
        <v>6.4041184852504163</v>
      </c>
    </row>
    <row r="191" spans="1:3">
      <c r="A191" t="s">
        <v>506</v>
      </c>
      <c r="B191" t="s">
        <v>503</v>
      </c>
      <c r="C191">
        <v>9.000467877510463</v>
      </c>
    </row>
    <row r="192" spans="1:3">
      <c r="A192" t="s">
        <v>506</v>
      </c>
      <c r="B192" t="s">
        <v>503</v>
      </c>
      <c r="C192">
        <v>7.647562540749929</v>
      </c>
    </row>
    <row r="193" spans="1:3">
      <c r="A193" t="s">
        <v>507</v>
      </c>
      <c r="B193" t="s">
        <v>503</v>
      </c>
      <c r="C193">
        <v>3.0477610397449113</v>
      </c>
    </row>
    <row r="194" spans="1:3">
      <c r="A194" t="s">
        <v>507</v>
      </c>
      <c r="B194" t="s">
        <v>503</v>
      </c>
      <c r="C194">
        <v>2.8318597026450432</v>
      </c>
    </row>
    <row r="195" spans="1:3">
      <c r="A195" t="s">
        <v>507</v>
      </c>
      <c r="B195" t="s">
        <v>503</v>
      </c>
      <c r="C195">
        <v>3.2642460152888293</v>
      </c>
    </row>
    <row r="196" spans="1:3">
      <c r="A196" t="s">
        <v>507</v>
      </c>
      <c r="B196" t="s">
        <v>503</v>
      </c>
      <c r="C196">
        <v>2.9685322622113222</v>
      </c>
    </row>
    <row r="197" spans="1:3">
      <c r="A197" t="s">
        <v>508</v>
      </c>
      <c r="B197" t="s">
        <v>503</v>
      </c>
      <c r="C197">
        <v>0.68634221562745568</v>
      </c>
    </row>
    <row r="198" spans="1:3">
      <c r="A198" t="s">
        <v>508</v>
      </c>
      <c r="B198" t="s">
        <v>503</v>
      </c>
      <c r="C198">
        <v>0.52123288042056026</v>
      </c>
    </row>
    <row r="199" spans="1:3">
      <c r="A199" t="s">
        <v>508</v>
      </c>
      <c r="B199" t="s">
        <v>503</v>
      </c>
      <c r="C199">
        <v>0.50104080253981642</v>
      </c>
    </row>
    <row r="200" spans="1:3">
      <c r="A200" t="s">
        <v>508</v>
      </c>
      <c r="B200" t="s">
        <v>503</v>
      </c>
      <c r="C200">
        <v>0.54299092816114702</v>
      </c>
    </row>
    <row r="201" spans="1:3">
      <c r="A201" t="s">
        <v>509</v>
      </c>
      <c r="B201" t="s">
        <v>503</v>
      </c>
      <c r="C201">
        <v>1.1116863403426025</v>
      </c>
    </row>
    <row r="202" spans="1:3">
      <c r="A202" t="s">
        <v>509</v>
      </c>
      <c r="B202" t="s">
        <v>503</v>
      </c>
      <c r="C202">
        <v>0.92066601167811268</v>
      </c>
    </row>
    <row r="203" spans="1:3">
      <c r="A203" t="s">
        <v>509</v>
      </c>
      <c r="B203" t="s">
        <v>503</v>
      </c>
      <c r="C203">
        <v>1.0109767313217182</v>
      </c>
    </row>
    <row r="204" spans="1:3">
      <c r="A204" t="s">
        <v>509</v>
      </c>
      <c r="B204" t="s">
        <v>503</v>
      </c>
      <c r="C204">
        <v>0.7992672009227807</v>
      </c>
    </row>
    <row r="205" spans="1:3">
      <c r="A205" t="s">
        <v>510</v>
      </c>
      <c r="B205" t="s">
        <v>503</v>
      </c>
      <c r="C205">
        <v>0.36984687731220883</v>
      </c>
    </row>
    <row r="206" spans="1:3">
      <c r="A206" t="s">
        <v>510</v>
      </c>
      <c r="B206" t="s">
        <v>503</v>
      </c>
      <c r="C206">
        <v>0.42750108894598671</v>
      </c>
    </row>
    <row r="207" spans="1:3">
      <c r="A207" t="s">
        <v>510</v>
      </c>
      <c r="B207" t="s">
        <v>503</v>
      </c>
      <c r="C207">
        <v>0.41552293079682512</v>
      </c>
    </row>
    <row r="208" spans="1:3">
      <c r="A208" t="s">
        <v>510</v>
      </c>
      <c r="B208" t="s">
        <v>503</v>
      </c>
      <c r="C208">
        <v>0.41408506789079441</v>
      </c>
    </row>
    <row r="209" spans="1:3">
      <c r="B209" s="1"/>
    </row>
    <row r="211" spans="1:3">
      <c r="A211" t="s">
        <v>505</v>
      </c>
      <c r="B211" t="s">
        <v>504</v>
      </c>
      <c r="C211">
        <v>0.13173853523257392</v>
      </c>
    </row>
    <row r="212" spans="1:3">
      <c r="A212" t="s">
        <v>505</v>
      </c>
      <c r="B212" t="s">
        <v>504</v>
      </c>
      <c r="C212">
        <v>0.12122414117897956</v>
      </c>
    </row>
    <row r="213" spans="1:3">
      <c r="A213" t="s">
        <v>505</v>
      </c>
      <c r="B213" t="s">
        <v>504</v>
      </c>
      <c r="C213">
        <v>0.14945160345532194</v>
      </c>
    </row>
    <row r="214" spans="1:3">
      <c r="A214" t="s">
        <v>505</v>
      </c>
      <c r="B214" t="s">
        <v>504</v>
      </c>
      <c r="C214">
        <v>0.13037600930886259</v>
      </c>
    </row>
    <row r="215" spans="1:3">
      <c r="A215" t="s">
        <v>506</v>
      </c>
      <c r="B215" t="s">
        <v>504</v>
      </c>
      <c r="C215">
        <v>3.182145059957501</v>
      </c>
    </row>
    <row r="216" spans="1:3">
      <c r="A216" t="s">
        <v>506</v>
      </c>
      <c r="B216" t="s">
        <v>504</v>
      </c>
      <c r="C216">
        <v>4.4660524619929243</v>
      </c>
    </row>
    <row r="217" spans="1:3">
      <c r="A217" t="s">
        <v>506</v>
      </c>
      <c r="B217" t="s">
        <v>504</v>
      </c>
      <c r="C217">
        <v>2.6573709536510006</v>
      </c>
    </row>
    <row r="218" spans="1:3">
      <c r="A218" t="s">
        <v>506</v>
      </c>
      <c r="B218" t="s">
        <v>504</v>
      </c>
      <c r="C218">
        <v>3.7580883337560684</v>
      </c>
    </row>
    <row r="219" spans="1:3">
      <c r="A219" t="s">
        <v>507</v>
      </c>
      <c r="B219" t="s">
        <v>504</v>
      </c>
      <c r="C219">
        <v>0.30014892752067007</v>
      </c>
    </row>
    <row r="220" spans="1:3">
      <c r="A220" t="s">
        <v>507</v>
      </c>
      <c r="B220" t="s">
        <v>504</v>
      </c>
      <c r="C220">
        <v>0.17996029095600907</v>
      </c>
    </row>
    <row r="221" spans="1:3">
      <c r="A221" t="s">
        <v>507</v>
      </c>
      <c r="B221" t="s">
        <v>504</v>
      </c>
      <c r="C221">
        <v>0.16241413203007815</v>
      </c>
    </row>
    <row r="222" spans="1:3">
      <c r="A222" t="s">
        <v>507</v>
      </c>
      <c r="B222" t="s">
        <v>504</v>
      </c>
      <c r="C222">
        <v>0.2553856738110527</v>
      </c>
    </row>
    <row r="223" spans="1:3">
      <c r="A223" t="s">
        <v>508</v>
      </c>
      <c r="B223" t="s">
        <v>504</v>
      </c>
      <c r="C223">
        <v>0.57077728112087833</v>
      </c>
    </row>
    <row r="224" spans="1:3">
      <c r="A224" t="s">
        <v>508</v>
      </c>
      <c r="B224" t="s">
        <v>504</v>
      </c>
      <c r="C224">
        <v>2.2720573761037239</v>
      </c>
    </row>
    <row r="225" spans="1:3">
      <c r="A225" t="s">
        <v>508</v>
      </c>
      <c r="B225" t="s">
        <v>504</v>
      </c>
      <c r="C225">
        <v>1.2422890044389767</v>
      </c>
    </row>
    <row r="226" spans="1:3">
      <c r="A226" t="s">
        <v>508</v>
      </c>
      <c r="B226" t="s">
        <v>504</v>
      </c>
      <c r="C226">
        <v>0.83450891045258346</v>
      </c>
    </row>
    <row r="227" spans="1:3">
      <c r="A227" t="s">
        <v>509</v>
      </c>
      <c r="B227" t="s">
        <v>504</v>
      </c>
      <c r="C227">
        <v>0.12992489036494131</v>
      </c>
    </row>
    <row r="228" spans="1:3">
      <c r="A228" t="s">
        <v>509</v>
      </c>
      <c r="B228" t="s">
        <v>504</v>
      </c>
      <c r="C228">
        <v>0.17859336301430218</v>
      </c>
    </row>
    <row r="229" spans="1:3">
      <c r="A229" t="s">
        <v>509</v>
      </c>
      <c r="B229" t="s">
        <v>504</v>
      </c>
      <c r="C229">
        <v>0.19816169950123283</v>
      </c>
    </row>
    <row r="230" spans="1:3">
      <c r="A230" t="s">
        <v>509</v>
      </c>
      <c r="B230" t="s">
        <v>504</v>
      </c>
      <c r="C230">
        <v>0.15195857473938332</v>
      </c>
    </row>
    <row r="231" spans="1:3">
      <c r="A231" t="s">
        <v>510</v>
      </c>
      <c r="B231" t="s">
        <v>504</v>
      </c>
      <c r="C231">
        <v>1.1242794945483665</v>
      </c>
    </row>
    <row r="232" spans="1:3">
      <c r="A232" t="s">
        <v>510</v>
      </c>
      <c r="B232" t="s">
        <v>504</v>
      </c>
      <c r="C232">
        <v>0.76154421681538509</v>
      </c>
    </row>
    <row r="233" spans="1:3">
      <c r="A233" t="s">
        <v>510</v>
      </c>
      <c r="B233" t="s">
        <v>504</v>
      </c>
      <c r="C233">
        <v>0.71251914619523316</v>
      </c>
    </row>
    <row r="234" spans="1:3">
      <c r="A234" t="s">
        <v>510</v>
      </c>
      <c r="B234" t="s">
        <v>504</v>
      </c>
      <c r="C234">
        <v>0.79996001834174157</v>
      </c>
    </row>
    <row r="235" spans="1:3">
      <c r="A235" s="4"/>
      <c r="B235" s="1"/>
    </row>
  </sheetData>
  <phoneticPr fontId="4" type="noConversion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Sample Setup</vt:lpstr>
      <vt:lpstr>Sheet5</vt:lpstr>
      <vt:lpstr>HGF 0317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赵甜</cp:lastModifiedBy>
  <dcterms:created xsi:type="dcterms:W3CDTF">2020-09-21T05:07:02Z</dcterms:created>
  <dcterms:modified xsi:type="dcterms:W3CDTF">2021-06-13T09:18:39Z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2052-11.1.0.9999</vt:lpwstr>
  </property>
</Properties>
</file>